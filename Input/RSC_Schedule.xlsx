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eason " sheetId="1" r:id="rId4"/>
    <sheet state="visible" name="Premier" sheetId="2" r:id="rId5"/>
    <sheet state="visible" name="Master" sheetId="3" r:id="rId6"/>
    <sheet state="visible" name="Elite" sheetId="4" r:id="rId7"/>
    <sheet state="visible" name="Veteran" sheetId="5" r:id="rId8"/>
    <sheet state="visible" name="Rival" sheetId="6" r:id="rId9"/>
    <sheet state="visible" name="Challenger" sheetId="7" r:id="rId10"/>
    <sheet state="visible" name="Prospect" sheetId="8" r:id="rId11"/>
    <sheet state="hidden" name="Contender" sheetId="9" r:id="rId12"/>
    <sheet state="visible" name="Amateur" sheetId="10" r:id="rId13"/>
    <sheet state="visible" name="Planning" sheetId="11" r:id="rId14"/>
    <sheet state="hidden" name="Imports" sheetId="12" r:id="rId15"/>
  </sheets>
  <definedNames/>
  <calcPr/>
</workbook>
</file>

<file path=xl/sharedStrings.xml><?xml version="1.0" encoding="utf-8"?>
<sst xmlns="http://schemas.openxmlformats.org/spreadsheetml/2006/main" count="2" uniqueCount="2">
  <si>
    <t>Planning Sheet</t>
  </si>
  <si>
    <t>1EYQ-vS3X0Yd9rUjuGQez_3JQTwWEc4difiQQfmqTKdQ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</si>
</sst>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M/d/yyyy"/>
    <numFmt numFmtId="166" formatCode="mmmm d"/>
    <numFmt numFmtId="167" formatCode="mmmm&quot; &quot;d"/>
  </numFmts>
  <fonts count="35">
    <font>
      <sz val="10.0"/>
      <color rgb="FF000000"/>
      <name val="Arial"/>
      <scheme val="minor"/>
    </font>
    <font>
      <color theme="1"/>
      <name val="Arial"/>
    </font>
    <font>
      <b/>
      <u/>
      <color rgb="FFFFFFFF"/>
      <name val="Arial"/>
    </font>
    <font>
      <b/>
      <u/>
      <color rgb="FFFFFFFF"/>
      <name val="Arial"/>
    </font>
    <font>
      <b/>
      <u/>
      <color rgb="FFFFFFFF"/>
      <name val="Arial"/>
    </font>
    <font>
      <b/>
      <u/>
      <color rgb="FFFFFFFF"/>
      <name val="Arial"/>
    </font>
    <font/>
    <font>
      <b/>
      <u/>
      <color rgb="FFFFFFFF"/>
      <name val="Arial"/>
    </font>
    <font>
      <b/>
      <u/>
      <color rgb="FFFFFFFF"/>
      <name val="Arial"/>
    </font>
    <font>
      <b/>
      <u/>
      <color rgb="FFFFFFFF"/>
      <name val="Arial"/>
    </font>
    <font>
      <sz val="24.0"/>
      <color rgb="FFFF00FF"/>
      <name val="Arial"/>
    </font>
    <font>
      <sz val="9.0"/>
      <color rgb="FFFFFFFF"/>
      <name val="Arial"/>
    </font>
    <font>
      <color rgb="FF000000"/>
      <name val="Arial"/>
    </font>
    <font>
      <b/>
      <color rgb="FFFFFFFF"/>
      <name val="Arial"/>
    </font>
    <font>
      <color rgb="FFFFFFFF"/>
      <name val="Arial"/>
    </font>
    <font>
      <sz val="24.0"/>
      <color rgb="FF8E7CC3"/>
      <name val="Arial"/>
    </font>
    <font>
      <sz val="24.0"/>
      <color rgb="FF6D9EEB"/>
      <name val="Arial"/>
    </font>
    <font>
      <b/>
      <sz val="18.0"/>
      <color rgb="FFFFD966"/>
      <name val="Arial"/>
    </font>
    <font>
      <b/>
      <sz val="14.0"/>
      <color rgb="FFCCCCCC"/>
      <name val="Arial"/>
    </font>
    <font>
      <b/>
      <sz val="14.0"/>
      <color rgb="FFF6B26B"/>
      <name val="Arial"/>
    </font>
    <font>
      <b/>
      <sz val="14.0"/>
      <color rgb="FFD2B48C"/>
      <name val="Arial"/>
    </font>
    <font>
      <b/>
      <sz val="14.0"/>
      <color rgb="FF6D9EEB"/>
      <name val="Arial"/>
    </font>
    <font>
      <b/>
      <sz val="18.0"/>
      <color rgb="FF8E7CC3"/>
      <name val="Arial"/>
    </font>
    <font>
      <sz val="24.0"/>
      <color rgb="FFF3F3F3"/>
      <name val="Arial"/>
    </font>
    <font>
      <sz val="24.0"/>
      <color rgb="FF33FFDA"/>
      <name val="Arial"/>
    </font>
    <font>
      <color theme="1"/>
      <name val="Arial"/>
      <scheme val="minor"/>
    </font>
    <font>
      <b/>
      <sz val="18.0"/>
      <color rgb="FFFFFFFF"/>
      <name val="Arial"/>
    </font>
    <font>
      <b/>
      <sz val="14.0"/>
      <color rgb="FFFFFFFF"/>
      <name val="Arial"/>
    </font>
    <font>
      <sz val="24.0"/>
      <color rgb="FF93C47D"/>
      <name val="Arial"/>
    </font>
    <font>
      <sz val="24.0"/>
      <color rgb="FFFFD966"/>
      <name val="Arial"/>
    </font>
    <font>
      <sz val="24.0"/>
      <color rgb="FFF6B26B"/>
      <name val="Arial"/>
    </font>
    <font>
      <sz val="24.0"/>
      <color rgb="FFCC4125"/>
      <name val="Arial"/>
    </font>
    <font>
      <sz val="24.0"/>
      <color rgb="FFF4C7C3"/>
      <name val="Arial"/>
    </font>
    <font>
      <b/>
      <color theme="1"/>
      <name val="Arial"/>
    </font>
    <font>
      <color rgb="FFFFFFFF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3FFDA"/>
        <bgColor rgb="FF33FFDA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F4C7C3"/>
        <bgColor rgb="FFF4C7C3"/>
      </patternFill>
    </fill>
    <fill>
      <patternFill patternType="solid">
        <fgColor rgb="FFB4A7D6"/>
        <bgColor rgb="FFB4A7D6"/>
      </patternFill>
    </fill>
    <fill>
      <patternFill patternType="solid">
        <fgColor rgb="FF00FFFF"/>
        <bgColor rgb="FF00FFFF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F3A9A9"/>
        <bgColor rgb="FFF3A9A9"/>
      </patternFill>
    </fill>
    <fill>
      <patternFill patternType="solid">
        <fgColor rgb="FFE06666"/>
        <bgColor rgb="FFE06666"/>
      </patternFill>
    </fill>
    <fill>
      <patternFill patternType="solid">
        <fgColor rgb="FFD600D6"/>
        <bgColor rgb="FFD600D6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3">
    <border/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666666"/>
      </right>
    </border>
    <border>
      <right style="thin">
        <color rgb="FF666666"/>
      </right>
      <bottom style="thin">
        <color rgb="FF666666"/>
      </bottom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1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horizontal="center"/>
    </xf>
    <xf borderId="0" fillId="2" fontId="3" numFmtId="0" xfId="0" applyFont="1"/>
    <xf borderId="0" fillId="2" fontId="1" numFmtId="0" xfId="0" applyAlignment="1" applyFont="1">
      <alignment vertical="bottom"/>
    </xf>
    <xf borderId="0" fillId="2" fontId="4" numFmtId="0" xfId="0" applyAlignment="1" applyFont="1">
      <alignment horizontal="center" vertical="bottom"/>
    </xf>
    <xf borderId="1" fillId="3" fontId="1" numFmtId="164" xfId="0" applyAlignment="1" applyBorder="1" applyFill="1" applyFont="1" applyNumberFormat="1">
      <alignment vertical="bottom"/>
    </xf>
    <xf borderId="1" fillId="3" fontId="1" numFmtId="0" xfId="0" applyAlignment="1" applyBorder="1" applyFont="1">
      <alignment vertical="bottom"/>
    </xf>
    <xf borderId="1" fillId="2" fontId="1" numFmtId="0" xfId="0" applyAlignment="1" applyBorder="1" applyFont="1">
      <alignment vertical="bottom"/>
    </xf>
    <xf borderId="1" fillId="4" fontId="1" numFmtId="164" xfId="0" applyAlignment="1" applyBorder="1" applyFill="1" applyFont="1" applyNumberFormat="1">
      <alignment vertical="bottom"/>
    </xf>
    <xf borderId="1" fillId="4" fontId="1" numFmtId="0" xfId="0" applyAlignment="1" applyBorder="1" applyFont="1">
      <alignment vertical="bottom"/>
    </xf>
    <xf borderId="1" fillId="2" fontId="1" numFmtId="0" xfId="0" applyBorder="1" applyFont="1"/>
    <xf borderId="1" fillId="5" fontId="1" numFmtId="0" xfId="0" applyAlignment="1" applyBorder="1" applyFill="1" applyFont="1">
      <alignment vertical="bottom"/>
    </xf>
    <xf borderId="1" fillId="6" fontId="1" numFmtId="0" xfId="0" applyAlignment="1" applyBorder="1" applyFill="1" applyFont="1">
      <alignment vertical="bottom"/>
    </xf>
    <xf borderId="2" fillId="2" fontId="1" numFmtId="0" xfId="0" applyAlignment="1" applyBorder="1" applyFont="1">
      <alignment vertical="bottom"/>
    </xf>
    <xf borderId="2" fillId="2" fontId="1" numFmtId="0" xfId="0" applyBorder="1" applyFont="1"/>
    <xf borderId="2" fillId="5" fontId="1" numFmtId="0" xfId="0" applyAlignment="1" applyBorder="1" applyFont="1">
      <alignment vertical="bottom"/>
    </xf>
    <xf borderId="2" fillId="6" fontId="1" numFmtId="0" xfId="0" applyAlignment="1" applyBorder="1" applyFont="1">
      <alignment vertical="bottom"/>
    </xf>
    <xf borderId="1" fillId="2" fontId="5" numFmtId="164" xfId="0" applyAlignment="1" applyBorder="1" applyFont="1" applyNumberFormat="1">
      <alignment horizontal="center" vertical="bottom"/>
    </xf>
    <xf borderId="1" fillId="0" fontId="6" numFmtId="0" xfId="0" applyBorder="1" applyFont="1"/>
    <xf borderId="0" fillId="4" fontId="1" numFmtId="164" xfId="0" applyAlignment="1" applyFont="1" applyNumberFormat="1">
      <alignment vertical="bottom"/>
    </xf>
    <xf borderId="0" fillId="4" fontId="1" numFmtId="0" xfId="0" applyAlignment="1" applyFont="1">
      <alignment vertical="bottom"/>
    </xf>
    <xf borderId="1" fillId="2" fontId="7" numFmtId="0" xfId="0" applyAlignment="1" applyBorder="1" applyFont="1">
      <alignment horizontal="center" vertical="bottom"/>
    </xf>
    <xf borderId="0" fillId="3" fontId="1" numFmtId="0" xfId="0" applyAlignment="1" applyFont="1">
      <alignment vertical="bottom"/>
    </xf>
    <xf borderId="2" fillId="2" fontId="1" numFmtId="164" xfId="0" applyAlignment="1" applyBorder="1" applyFont="1" applyNumberFormat="1">
      <alignment vertical="bottom"/>
    </xf>
    <xf borderId="2" fillId="2" fontId="1" numFmtId="0" xfId="0" applyAlignment="1" applyBorder="1" applyFont="1">
      <alignment vertical="bottom"/>
    </xf>
    <xf borderId="2" fillId="2" fontId="8" numFmtId="0" xfId="0" applyAlignment="1" applyBorder="1" applyFont="1">
      <alignment horizontal="center" vertical="bottom"/>
    </xf>
    <xf borderId="2" fillId="0" fontId="6" numFmtId="0" xfId="0" applyBorder="1" applyFont="1"/>
    <xf borderId="1" fillId="2" fontId="1" numFmtId="164" xfId="0" applyAlignment="1" applyBorder="1" applyFont="1" applyNumberFormat="1">
      <alignment vertical="bottom"/>
    </xf>
    <xf borderId="1" fillId="2" fontId="1" numFmtId="0" xfId="0" applyAlignment="1" applyBorder="1" applyFont="1">
      <alignment vertical="bottom"/>
    </xf>
    <xf borderId="2" fillId="2" fontId="9" numFmtId="164" xfId="0" applyAlignment="1" applyBorder="1" applyFont="1" applyNumberFormat="1">
      <alignment horizontal="center" vertical="bottom"/>
    </xf>
    <xf borderId="1" fillId="7" fontId="1" numFmtId="0" xfId="0" applyAlignment="1" applyBorder="1" applyFill="1" applyFont="1">
      <alignment vertical="bottom"/>
    </xf>
    <xf borderId="1" fillId="8" fontId="1" numFmtId="0" xfId="0" applyAlignment="1" applyBorder="1" applyFill="1" applyFont="1">
      <alignment vertical="bottom"/>
    </xf>
    <xf borderId="1" fillId="9" fontId="1" numFmtId="164" xfId="0" applyAlignment="1" applyBorder="1" applyFill="1" applyFont="1" applyNumberFormat="1">
      <alignment vertical="bottom"/>
    </xf>
    <xf borderId="1" fillId="9" fontId="1" numFmtId="0" xfId="0" applyAlignment="1" applyBorder="1" applyFont="1">
      <alignment vertical="bottom"/>
    </xf>
    <xf borderId="1" fillId="10" fontId="1" numFmtId="164" xfId="0" applyAlignment="1" applyBorder="1" applyFill="1" applyFont="1" applyNumberFormat="1">
      <alignment vertical="bottom"/>
    </xf>
    <xf borderId="1" fillId="10" fontId="1" numFmtId="0" xfId="0" applyAlignment="1" applyBorder="1" applyFont="1">
      <alignment vertical="bottom"/>
    </xf>
    <xf borderId="2" fillId="7" fontId="1" numFmtId="0" xfId="0" applyAlignment="1" applyBorder="1" applyFont="1">
      <alignment vertical="bottom"/>
    </xf>
    <xf borderId="2" fillId="8" fontId="1" numFmtId="0" xfId="0" applyAlignment="1" applyBorder="1" applyFont="1">
      <alignment vertical="bottom"/>
    </xf>
    <xf borderId="0" fillId="9" fontId="1" numFmtId="164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10" fontId="1" numFmtId="164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2" fontId="1" numFmtId="0" xfId="0" applyAlignment="1" applyFont="1">
      <alignment vertical="bottom"/>
    </xf>
    <xf borderId="3" fillId="7" fontId="1" numFmtId="0" xfId="0" applyAlignment="1" applyBorder="1" applyFont="1">
      <alignment vertical="bottom"/>
    </xf>
    <xf borderId="3" fillId="2" fontId="1" numFmtId="0" xfId="0" applyAlignment="1" applyBorder="1" applyFont="1">
      <alignment vertical="bottom"/>
    </xf>
    <xf borderId="3" fillId="8" fontId="1" numFmtId="0" xfId="0" applyAlignment="1" applyBorder="1" applyFont="1">
      <alignment vertical="bottom"/>
    </xf>
    <xf borderId="0" fillId="2" fontId="10" numFmtId="0" xfId="0" applyAlignment="1" applyFont="1">
      <alignment horizontal="center" vertical="bottom"/>
    </xf>
    <xf borderId="0" fillId="11" fontId="1" numFmtId="0" xfId="0" applyAlignment="1" applyFill="1" applyFont="1">
      <alignment horizontal="center" vertical="bottom"/>
    </xf>
    <xf borderId="0" fillId="12" fontId="1" numFmtId="0" xfId="0" applyAlignment="1" applyFill="1" applyFont="1">
      <alignment horizontal="center" vertical="bottom"/>
    </xf>
    <xf borderId="0" fillId="2" fontId="11" numFmtId="0" xfId="0" applyAlignment="1" applyFont="1">
      <alignment horizontal="center" vertical="bottom"/>
    </xf>
    <xf borderId="0" fillId="13" fontId="1" numFmtId="0" xfId="0" applyAlignment="1" applyFill="1" applyFont="1">
      <alignment horizontal="center" vertical="bottom"/>
    </xf>
    <xf borderId="0" fillId="14" fontId="12" numFmtId="0" xfId="0" applyAlignment="1" applyFill="1" applyFont="1">
      <alignment horizontal="center" vertical="bottom"/>
    </xf>
    <xf borderId="4" fillId="2" fontId="13" numFmtId="0" xfId="0" applyAlignment="1" applyBorder="1" applyFont="1">
      <alignment horizontal="center" vertical="bottom"/>
    </xf>
    <xf borderId="0" fillId="2" fontId="12" numFmtId="0" xfId="0" applyAlignment="1" applyFont="1">
      <alignment vertical="bottom"/>
    </xf>
    <xf borderId="0" fillId="2" fontId="14" numFmtId="0" xfId="0" applyAlignment="1" applyFont="1">
      <alignment horizontal="center" vertical="bottom"/>
    </xf>
    <xf borderId="5" fillId="11" fontId="1" numFmtId="0" xfId="0" applyAlignment="1" applyBorder="1" applyFont="1">
      <alignment horizontal="center" vertical="bottom"/>
    </xf>
    <xf borderId="5" fillId="11" fontId="1" numFmtId="165" xfId="0" applyAlignment="1" applyBorder="1" applyFont="1" applyNumberFormat="1">
      <alignment horizontal="center" vertical="bottom"/>
    </xf>
    <xf borderId="5" fillId="11" fontId="1" numFmtId="0" xfId="0" applyAlignment="1" applyBorder="1" applyFont="1">
      <alignment horizontal="center" vertical="bottom"/>
    </xf>
    <xf borderId="0" fillId="2" fontId="14" numFmtId="14" xfId="0" applyAlignment="1" applyFont="1" applyNumberFormat="1">
      <alignment horizontal="center" vertical="bottom"/>
    </xf>
    <xf borderId="5" fillId="12" fontId="1" numFmtId="0" xfId="0" applyAlignment="1" applyBorder="1" applyFont="1">
      <alignment horizontal="center" vertical="bottom"/>
    </xf>
    <xf borderId="5" fillId="12" fontId="1" numFmtId="165" xfId="0" applyAlignment="1" applyBorder="1" applyFont="1" applyNumberFormat="1">
      <alignment horizontal="center" vertical="bottom"/>
    </xf>
    <xf borderId="5" fillId="12" fontId="1" numFmtId="0" xfId="0" applyAlignment="1" applyBorder="1" applyFont="1">
      <alignment horizontal="center" vertical="bottom"/>
    </xf>
    <xf borderId="5" fillId="12" fontId="1" numFmtId="14" xfId="0" applyAlignment="1" applyBorder="1" applyFont="1" applyNumberFormat="1">
      <alignment horizontal="center" vertical="bottom"/>
    </xf>
    <xf borderId="5" fillId="13" fontId="1" numFmtId="0" xfId="0" applyAlignment="1" applyBorder="1" applyFont="1">
      <alignment horizontal="center" vertical="bottom"/>
    </xf>
    <xf borderId="5" fillId="13" fontId="1" numFmtId="14" xfId="0" applyAlignment="1" applyBorder="1" applyFont="1" applyNumberFormat="1">
      <alignment horizontal="center" vertical="bottom"/>
    </xf>
    <xf borderId="5" fillId="13" fontId="1" numFmtId="0" xfId="0" applyAlignment="1" applyBorder="1" applyFont="1">
      <alignment horizontal="center" vertical="bottom"/>
    </xf>
    <xf borderId="0" fillId="2" fontId="14" numFmtId="0" xfId="0" applyAlignment="1" applyFont="1">
      <alignment horizontal="center" vertical="bottom"/>
    </xf>
    <xf borderId="0" fillId="2" fontId="14" numFmtId="0" xfId="0" applyAlignment="1" applyFont="1">
      <alignment horizontal="center" vertical="bottom"/>
    </xf>
    <xf borderId="6" fillId="14" fontId="1" numFmtId="0" xfId="0" applyAlignment="1" applyBorder="1" applyFont="1">
      <alignment horizontal="center" vertical="bottom"/>
    </xf>
    <xf borderId="6" fillId="0" fontId="6" numFmtId="0" xfId="0" applyBorder="1" applyFont="1"/>
    <xf borderId="5" fillId="0" fontId="6" numFmtId="0" xfId="0" applyBorder="1" applyFont="1"/>
    <xf borderId="0" fillId="2" fontId="1" numFmtId="14" xfId="0" applyAlignment="1" applyFont="1" applyNumberFormat="1">
      <alignment vertical="bottom"/>
    </xf>
    <xf borderId="0" fillId="2" fontId="1" numFmtId="0" xfId="0" applyAlignment="1" applyFont="1">
      <alignment vertical="bottom"/>
    </xf>
    <xf borderId="0" fillId="2" fontId="15" numFmtId="0" xfId="0" applyAlignment="1" applyFont="1">
      <alignment horizontal="center" vertical="bottom"/>
    </xf>
    <xf borderId="0" fillId="2" fontId="15" numFmtId="0" xfId="0" applyAlignment="1" applyFont="1">
      <alignment horizontal="center" readingOrder="0" vertical="bottom"/>
    </xf>
    <xf borderId="0" fillId="2" fontId="11" numFmtId="0" xfId="0" applyAlignment="1" applyFont="1">
      <alignment horizontal="center" vertical="bottom"/>
    </xf>
    <xf borderId="0" fillId="11" fontId="1" numFmtId="0" xfId="0" applyAlignment="1" applyFont="1">
      <alignment horizontal="center" vertical="bottom"/>
    </xf>
    <xf borderId="0" fillId="12" fontId="1" numFmtId="0" xfId="0" applyAlignment="1" applyFont="1">
      <alignment horizontal="center" vertical="bottom"/>
    </xf>
    <xf borderId="0" fillId="15" fontId="12" numFmtId="0" xfId="0" applyAlignment="1" applyFill="1" applyFont="1">
      <alignment horizontal="center" vertical="bottom"/>
    </xf>
    <xf borderId="0" fillId="14" fontId="12" numFmtId="0" xfId="0" applyAlignment="1" applyFont="1">
      <alignment horizontal="center" vertical="bottom"/>
    </xf>
    <xf borderId="0" fillId="2" fontId="13" numFmtId="0" xfId="0" applyAlignment="1" applyFont="1">
      <alignment horizontal="center" vertical="bottom"/>
    </xf>
    <xf borderId="7" fillId="11" fontId="12" numFmtId="0" xfId="0" applyAlignment="1" applyBorder="1" applyFont="1">
      <alignment horizontal="center" vertical="bottom"/>
    </xf>
    <xf borderId="8" fillId="11" fontId="12" numFmtId="0" xfId="0" applyAlignment="1" applyBorder="1" applyFont="1">
      <alignment horizontal="center" vertical="bottom"/>
    </xf>
    <xf borderId="0" fillId="2" fontId="14" numFmtId="0" xfId="0" applyAlignment="1" applyFont="1">
      <alignment vertical="bottom"/>
    </xf>
    <xf borderId="9" fillId="12" fontId="12" numFmtId="0" xfId="0" applyAlignment="1" applyBorder="1" applyFont="1">
      <alignment horizontal="center" vertical="bottom"/>
    </xf>
    <xf borderId="10" fillId="12" fontId="12" numFmtId="0" xfId="0" applyAlignment="1" applyBorder="1" applyFont="1">
      <alignment horizontal="center" vertical="bottom"/>
    </xf>
    <xf borderId="7" fillId="12" fontId="12" numFmtId="0" xfId="0" applyAlignment="1" applyBorder="1" applyFont="1">
      <alignment horizontal="center" vertical="bottom"/>
    </xf>
    <xf borderId="8" fillId="12" fontId="12" numFmtId="0" xfId="0" applyAlignment="1" applyBorder="1" applyFont="1">
      <alignment horizontal="center" vertical="bottom"/>
    </xf>
    <xf borderId="11" fillId="14" fontId="1" numFmtId="0" xfId="0" applyAlignment="1" applyBorder="1" applyFont="1">
      <alignment horizontal="center" vertical="bottom"/>
    </xf>
    <xf borderId="10" fillId="0" fontId="6" numFmtId="0" xfId="0" applyBorder="1" applyFont="1"/>
    <xf borderId="12" fillId="14" fontId="1" numFmtId="0" xfId="0" applyAlignment="1" applyBorder="1" applyFont="1">
      <alignment horizontal="center" vertical="bottom"/>
    </xf>
    <xf borderId="8" fillId="0" fontId="6" numFmtId="0" xfId="0" applyBorder="1" applyFont="1"/>
    <xf borderId="0" fillId="0" fontId="1" numFmtId="0" xfId="0" applyAlignment="1" applyFont="1">
      <alignment vertical="bottom"/>
    </xf>
    <xf borderId="0" fillId="2" fontId="16" numFmtId="0" xfId="0" applyAlignment="1" applyFont="1">
      <alignment horizontal="center" vertical="bottom"/>
    </xf>
    <xf borderId="0" fillId="2" fontId="17" numFmtId="0" xfId="0" applyAlignment="1" applyFont="1">
      <alignment horizontal="center" vertical="bottom"/>
    </xf>
    <xf borderId="0" fillId="16" fontId="1" numFmtId="0" xfId="0" applyAlignment="1" applyFill="1" applyFont="1">
      <alignment horizontal="center" vertical="bottom"/>
    </xf>
    <xf borderId="0" fillId="15" fontId="1" numFmtId="0" xfId="0" applyAlignment="1" applyFont="1">
      <alignment horizontal="center" vertical="bottom"/>
    </xf>
    <xf borderId="0" fillId="2" fontId="18" numFmtId="0" xfId="0" applyAlignment="1" applyFont="1">
      <alignment horizontal="center" vertical="bottom"/>
    </xf>
    <xf borderId="0" fillId="2" fontId="19" numFmtId="0" xfId="0" applyAlignment="1" applyFont="1">
      <alignment horizontal="center" vertical="bottom"/>
    </xf>
    <xf borderId="0" fillId="2" fontId="20" numFmtId="0" xfId="0" applyAlignment="1" applyFont="1">
      <alignment horizontal="center" vertical="bottom"/>
    </xf>
    <xf borderId="0" fillId="2" fontId="1" numFmtId="165" xfId="0" applyAlignment="1" applyFont="1" applyNumberFormat="1">
      <alignment vertical="bottom"/>
    </xf>
    <xf borderId="0" fillId="2" fontId="21" numFmtId="0" xfId="0" applyAlignment="1" applyFont="1">
      <alignment horizontal="center" vertical="bottom"/>
    </xf>
    <xf borderId="4" fillId="2" fontId="13" numFmtId="0" xfId="0" applyAlignment="1" applyBorder="1" applyFont="1">
      <alignment horizontal="center" vertical="bottom"/>
    </xf>
    <xf borderId="4" fillId="2" fontId="1" numFmtId="0" xfId="0" applyAlignment="1" applyBorder="1" applyFont="1">
      <alignment vertical="bottom"/>
    </xf>
    <xf borderId="4" fillId="2" fontId="1" numFmtId="165" xfId="0" applyAlignment="1" applyBorder="1" applyFont="1" applyNumberFormat="1">
      <alignment vertical="bottom"/>
    </xf>
    <xf borderId="0" fillId="2" fontId="12" numFmtId="0" xfId="0" applyAlignment="1" applyFont="1">
      <alignment vertical="bottom"/>
    </xf>
    <xf borderId="8" fillId="2" fontId="1" numFmtId="0" xfId="0" applyAlignment="1" applyBorder="1" applyFont="1">
      <alignment vertical="bottom"/>
    </xf>
    <xf borderId="8" fillId="2" fontId="1" numFmtId="165" xfId="0" applyAlignment="1" applyBorder="1" applyFont="1" applyNumberFormat="1">
      <alignment vertical="bottom"/>
    </xf>
    <xf borderId="0" fillId="2" fontId="14" numFmtId="165" xfId="0" applyAlignment="1" applyFont="1" applyNumberFormat="1">
      <alignment horizontal="center" vertical="bottom"/>
    </xf>
    <xf borderId="8" fillId="11" fontId="1" numFmtId="0" xfId="0" applyAlignment="1" applyBorder="1" applyFont="1">
      <alignment horizontal="center" vertical="bottom"/>
    </xf>
    <xf borderId="7" fillId="11" fontId="1" numFmtId="0" xfId="0" applyAlignment="1" applyBorder="1" applyFont="1">
      <alignment horizontal="center" vertical="bottom"/>
    </xf>
    <xf borderId="9" fillId="12" fontId="1" numFmtId="0" xfId="0" applyAlignment="1" applyBorder="1" applyFont="1">
      <alignment horizontal="center" vertical="bottom"/>
    </xf>
    <xf borderId="10" fillId="12" fontId="1" numFmtId="0" xfId="0" applyAlignment="1" applyBorder="1" applyFont="1">
      <alignment horizontal="center" vertical="bottom"/>
    </xf>
    <xf borderId="10" fillId="2" fontId="1" numFmtId="0" xfId="0" applyAlignment="1" applyBorder="1" applyFont="1">
      <alignment vertical="bottom"/>
    </xf>
    <xf borderId="10" fillId="2" fontId="1" numFmtId="165" xfId="0" applyAlignment="1" applyBorder="1" applyFont="1" applyNumberFormat="1">
      <alignment vertical="bottom"/>
    </xf>
    <xf borderId="7" fillId="12" fontId="1" numFmtId="0" xfId="0" applyAlignment="1" applyBorder="1" applyFont="1">
      <alignment horizontal="center" vertical="bottom"/>
    </xf>
    <xf borderId="8" fillId="12" fontId="1" numFmtId="0" xfId="0" applyAlignment="1" applyBorder="1" applyFont="1">
      <alignment horizontal="center" vertical="bottom"/>
    </xf>
    <xf borderId="7" fillId="16" fontId="12" numFmtId="0" xfId="0" applyAlignment="1" applyBorder="1" applyFont="1">
      <alignment horizontal="center" vertical="bottom"/>
    </xf>
    <xf borderId="8" fillId="16" fontId="12" numFmtId="0" xfId="0" applyAlignment="1" applyBorder="1" applyFont="1">
      <alignment horizontal="center" vertical="bottom"/>
    </xf>
    <xf borderId="8" fillId="2" fontId="1" numFmtId="14" xfId="0" applyAlignment="1" applyBorder="1" applyFont="1" applyNumberFormat="1">
      <alignment vertical="bottom"/>
    </xf>
    <xf borderId="7" fillId="15" fontId="12" numFmtId="0" xfId="0" applyAlignment="1" applyBorder="1" applyFont="1">
      <alignment horizontal="center" vertical="bottom"/>
    </xf>
    <xf borderId="8" fillId="15" fontId="12" numFmtId="0" xfId="0" applyAlignment="1" applyBorder="1" applyFont="1">
      <alignment horizontal="center" vertical="bottom"/>
    </xf>
    <xf borderId="8" fillId="2" fontId="1" numFmtId="0" xfId="0" applyAlignment="1" applyBorder="1" applyFont="1">
      <alignment vertical="bottom"/>
    </xf>
    <xf borderId="11" fillId="14" fontId="12" numFmtId="0" xfId="0" applyAlignment="1" applyBorder="1" applyFont="1">
      <alignment horizontal="center" vertical="bottom"/>
    </xf>
    <xf borderId="0" fillId="2" fontId="22" numFmtId="0" xfId="0" applyAlignment="1" applyFont="1">
      <alignment horizontal="center"/>
    </xf>
    <xf borderId="0" fillId="0" fontId="1" numFmtId="165" xfId="0" applyAlignment="1" applyFont="1" applyNumberFormat="1">
      <alignment vertical="bottom"/>
    </xf>
    <xf borderId="0" fillId="2" fontId="1" numFmtId="0" xfId="0" applyAlignment="1" applyFont="1">
      <alignment readingOrder="0" vertical="bottom"/>
    </xf>
    <xf borderId="0" fillId="2" fontId="23" numFmtId="0" xfId="0" applyAlignment="1" applyFont="1">
      <alignment horizontal="center" vertical="bottom"/>
    </xf>
    <xf borderId="0" fillId="2" fontId="24" numFmtId="0" xfId="0" applyAlignment="1" applyFont="1">
      <alignment horizontal="center" readingOrder="0" vertical="bottom"/>
    </xf>
    <xf borderId="0" fillId="2" fontId="25" numFmtId="0" xfId="0" applyFont="1"/>
    <xf borderId="0" fillId="2" fontId="11" numFmtId="0" xfId="0" applyAlignment="1" applyFont="1">
      <alignment horizontal="center" readingOrder="0"/>
    </xf>
    <xf borderId="0" fillId="11" fontId="1" numFmtId="0" xfId="0" applyAlignment="1" applyFont="1">
      <alignment horizontal="center" readingOrder="0" vertical="bottom"/>
    </xf>
    <xf borderId="0" fillId="2" fontId="1" numFmtId="0" xfId="0" applyAlignment="1" applyFont="1">
      <alignment horizontal="center" vertical="bottom"/>
    </xf>
    <xf borderId="0" fillId="2" fontId="26" numFmtId="0" xfId="0" applyAlignment="1" applyFont="1">
      <alignment horizontal="center" vertical="bottom"/>
    </xf>
    <xf borderId="0" fillId="2" fontId="18" numFmtId="0" xfId="0" applyAlignment="1" applyFont="1">
      <alignment horizontal="center" readingOrder="0" vertical="bottom"/>
    </xf>
    <xf borderId="0" fillId="2" fontId="27" numFmtId="0" xfId="0" applyAlignment="1" applyFont="1">
      <alignment horizontal="center" readingOrder="0" vertical="bottom"/>
    </xf>
    <xf borderId="0" fillId="2" fontId="19" numFmtId="0" xfId="0" applyAlignment="1" applyFont="1">
      <alignment horizontal="center" readingOrder="0" vertical="bottom"/>
    </xf>
    <xf borderId="0" fillId="2" fontId="20" numFmtId="0" xfId="0" applyAlignment="1" applyFont="1">
      <alignment horizontal="center" readingOrder="0" vertical="bottom"/>
    </xf>
    <xf borderId="0" fillId="2" fontId="21" numFmtId="0" xfId="0" applyAlignment="1" applyFont="1">
      <alignment horizontal="center" readingOrder="0" vertical="bottom"/>
    </xf>
    <xf borderId="0" fillId="2" fontId="14" numFmtId="0" xfId="0" applyAlignment="1" applyFont="1">
      <alignment readingOrder="0" vertical="bottom"/>
    </xf>
    <xf borderId="0" fillId="2" fontId="14" numFmtId="0" xfId="0" applyAlignment="1" applyFont="1">
      <alignment horizontal="center" readingOrder="0" vertical="bottom"/>
    </xf>
    <xf borderId="8" fillId="2" fontId="1" numFmtId="0" xfId="0" applyAlignment="1" applyBorder="1" applyFont="1">
      <alignment horizontal="center" vertical="bottom"/>
    </xf>
    <xf borderId="0" fillId="2" fontId="14" numFmtId="165" xfId="0" applyAlignment="1" applyFont="1" applyNumberFormat="1">
      <alignment horizontal="center" readingOrder="0" vertical="bottom"/>
    </xf>
    <xf borderId="11" fillId="14" fontId="12" numFmtId="0" xfId="0" applyAlignment="1" applyBorder="1" applyFont="1">
      <alignment horizontal="center" readingOrder="0" vertical="bottom"/>
    </xf>
    <xf borderId="0" fillId="2" fontId="12" numFmtId="0" xfId="0" applyAlignment="1" applyFont="1">
      <alignment horizontal="center" vertical="bottom"/>
    </xf>
    <xf borderId="0" fillId="2" fontId="22" numFmtId="0" xfId="0" applyAlignment="1" applyFont="1">
      <alignment horizontal="center" vertical="center"/>
    </xf>
    <xf borderId="0" fillId="2" fontId="28" numFmtId="0" xfId="0" applyAlignment="1" applyFont="1">
      <alignment horizontal="center" readingOrder="0" vertical="bottom"/>
    </xf>
    <xf borderId="0" fillId="2" fontId="29" numFmtId="0" xfId="0" applyAlignment="1" applyFont="1">
      <alignment horizontal="center" vertical="bottom"/>
    </xf>
    <xf borderId="0" fillId="2" fontId="1" numFmtId="0" xfId="0" applyFont="1"/>
    <xf borderId="0" fillId="2" fontId="30" numFmtId="0" xfId="0" applyAlignment="1" applyFont="1">
      <alignment horizontal="center" vertical="bottom"/>
    </xf>
    <xf borderId="0" fillId="2" fontId="30" numFmtId="0" xfId="0" applyAlignment="1" applyFont="1">
      <alignment horizontal="center" readingOrder="0" vertical="bottom"/>
    </xf>
    <xf borderId="0" fillId="2" fontId="31" numFmtId="0" xfId="0" applyAlignment="1" applyFont="1">
      <alignment horizontal="center" vertical="bottom"/>
    </xf>
    <xf borderId="0" fillId="2" fontId="11" numFmtId="0" xfId="0" applyAlignment="1" applyFont="1">
      <alignment horizontal="center" vertical="bottom"/>
    </xf>
    <xf borderId="0" fillId="2" fontId="17" numFmtId="0" xfId="0" applyAlignment="1" applyFont="1">
      <alignment horizontal="center" vertical="bottom"/>
    </xf>
    <xf borderId="0" fillId="12" fontId="1" numFmtId="0" xfId="0" applyAlignment="1" applyFont="1">
      <alignment horizontal="center" vertical="bottom"/>
    </xf>
    <xf borderId="0" fillId="15" fontId="12" numFmtId="0" xfId="0" applyAlignment="1" applyFont="1">
      <alignment horizontal="center" vertical="bottom"/>
    </xf>
    <xf borderId="0" fillId="2" fontId="13" numFmtId="0" xfId="0" applyAlignment="1" applyFont="1">
      <alignment horizontal="center" vertical="bottom"/>
    </xf>
    <xf borderId="0" fillId="2" fontId="13" numFmtId="164" xfId="0" applyAlignment="1" applyFont="1" applyNumberFormat="1">
      <alignment horizontal="center" vertical="bottom"/>
    </xf>
    <xf borderId="9" fillId="11" fontId="12" numFmtId="164" xfId="0" applyAlignment="1" applyBorder="1" applyFont="1" applyNumberFormat="1">
      <alignment horizontal="center" vertical="bottom"/>
    </xf>
    <xf borderId="9" fillId="11" fontId="12" numFmtId="0" xfId="0" applyAlignment="1" applyBorder="1" applyFont="1">
      <alignment horizontal="center" vertical="bottom"/>
    </xf>
    <xf borderId="9" fillId="12" fontId="12" numFmtId="164" xfId="0" applyAlignment="1" applyBorder="1" applyFont="1" applyNumberFormat="1">
      <alignment horizontal="center" vertical="bottom"/>
    </xf>
    <xf borderId="9" fillId="15" fontId="12" numFmtId="0" xfId="0" applyAlignment="1" applyBorder="1" applyFont="1">
      <alignment horizontal="center" vertical="bottom"/>
    </xf>
    <xf borderId="9" fillId="15" fontId="12" numFmtId="164" xfId="0" applyAlignment="1" applyBorder="1" applyFont="1" applyNumberFormat="1">
      <alignment horizontal="center" vertical="bottom"/>
    </xf>
    <xf borderId="11" fillId="14" fontId="1" numFmtId="0" xfId="0" applyAlignment="1" applyBorder="1" applyFont="1">
      <alignment horizontal="center" vertical="bottom"/>
    </xf>
    <xf borderId="0" fillId="11" fontId="1" numFmtId="0" xfId="0" applyAlignment="1" applyFont="1">
      <alignment horizontal="center" vertical="bottom"/>
    </xf>
    <xf borderId="0" fillId="2" fontId="22" numFmtId="0" xfId="0" applyAlignment="1" applyFont="1">
      <alignment horizontal="center" vertical="bottom"/>
    </xf>
    <xf borderId="0" fillId="14" fontId="12" numFmtId="165" xfId="0" applyAlignment="1" applyFont="1" applyNumberFormat="1">
      <alignment horizontal="center" vertical="bottom"/>
    </xf>
    <xf borderId="9" fillId="15" fontId="12" numFmtId="0" xfId="0" applyAlignment="1" applyBorder="1" applyFont="1">
      <alignment horizontal="center" vertical="bottom"/>
    </xf>
    <xf borderId="9" fillId="12" fontId="12" numFmtId="0" xfId="0" applyAlignment="1" applyBorder="1" applyFont="1">
      <alignment horizontal="center" vertical="bottom"/>
    </xf>
    <xf borderId="0" fillId="2" fontId="32" numFmtId="0" xfId="0" applyAlignment="1" applyFont="1">
      <alignment horizontal="center" vertical="bottom"/>
    </xf>
    <xf borderId="6" fillId="14" fontId="1" numFmtId="0" xfId="0" applyAlignment="1" applyBorder="1" applyFont="1">
      <alignment horizontal="center" vertical="bottom"/>
    </xf>
    <xf borderId="0" fillId="0" fontId="1" numFmtId="166" xfId="0" applyAlignment="1" applyFont="1" applyNumberFormat="1">
      <alignment vertical="bottom"/>
    </xf>
    <xf borderId="0" fillId="17" fontId="33" numFmtId="0" xfId="0" applyAlignment="1" applyFill="1" applyFont="1">
      <alignment horizontal="center" vertical="bottom"/>
    </xf>
    <xf borderId="0" fillId="18" fontId="33" numFmtId="0" xfId="0" applyAlignment="1" applyFill="1" applyFont="1">
      <alignment horizontal="center" vertical="bottom"/>
    </xf>
    <xf borderId="0" fillId="9" fontId="33" numFmtId="0" xfId="0" applyAlignment="1" applyFont="1">
      <alignment horizontal="center" vertical="bottom"/>
    </xf>
    <xf borderId="0" fillId="8" fontId="33" numFmtId="0" xfId="0" applyAlignment="1" applyFont="1">
      <alignment horizontal="center" vertical="bottom"/>
    </xf>
    <xf borderId="0" fillId="7" fontId="33" numFmtId="0" xfId="0" applyAlignment="1" applyFont="1">
      <alignment horizontal="center" vertical="bottom"/>
    </xf>
    <xf borderId="0" fillId="6" fontId="33" numFmtId="0" xfId="0" applyAlignment="1" applyFont="1">
      <alignment horizontal="center" vertical="bottom"/>
    </xf>
    <xf borderId="0" fillId="5" fontId="33" numFmtId="0" xfId="0" applyAlignment="1" applyFont="1">
      <alignment horizontal="center" vertical="bottom"/>
    </xf>
    <xf borderId="0" fillId="4" fontId="33" numFmtId="0" xfId="0" applyAlignment="1" applyFont="1">
      <alignment horizontal="center" vertical="bottom"/>
    </xf>
    <xf borderId="0" fillId="19" fontId="33" numFmtId="0" xfId="0" applyAlignment="1" applyFill="1" applyFont="1">
      <alignment horizontal="center" vertical="bottom"/>
    </xf>
    <xf borderId="0" fillId="0" fontId="33" numFmtId="0" xfId="0" applyAlignment="1" applyFont="1">
      <alignment horizontal="center" vertical="bottom"/>
    </xf>
    <xf borderId="0" fillId="0" fontId="1" numFmtId="167" xfId="0" applyAlignment="1" applyFont="1" applyNumberFormat="1">
      <alignment vertical="bottom"/>
    </xf>
    <xf borderId="0" fillId="0" fontId="1" numFmtId="14" xfId="0" applyAlignment="1" applyFont="1" applyNumberFormat="1">
      <alignment horizontal="center" vertical="bottom"/>
    </xf>
    <xf borderId="0" fillId="20" fontId="1" numFmtId="0" xfId="0" applyAlignment="1" applyFill="1" applyFont="1">
      <alignment horizontal="center" vertical="bottom"/>
    </xf>
    <xf borderId="0" fillId="20" fontId="1" numFmtId="0" xfId="0" applyAlignment="1" applyFont="1">
      <alignment horizontal="center" vertical="bottom"/>
    </xf>
    <xf borderId="0" fillId="21" fontId="1" numFmtId="0" xfId="0" applyAlignment="1" applyFill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22" fontId="33" numFmtId="0" xfId="0" applyAlignment="1" applyFill="1" applyFont="1">
      <alignment horizontal="center" vertical="bottom"/>
    </xf>
    <xf borderId="0" fillId="21" fontId="1" numFmtId="10" xfId="0" applyAlignment="1" applyFont="1" applyNumberFormat="1">
      <alignment horizontal="center" vertical="bottom"/>
    </xf>
    <xf borderId="0" fillId="0" fontId="1" numFmtId="167" xfId="0" applyFont="1" applyNumberFormat="1"/>
    <xf borderId="0" fillId="23" fontId="1" numFmtId="0" xfId="0" applyAlignment="1" applyFill="1" applyFont="1">
      <alignment horizontal="center" vertical="bottom"/>
    </xf>
    <xf borderId="0" fillId="23" fontId="12" numFmtId="0" xfId="0" applyAlignment="1" applyFont="1">
      <alignment horizontal="center" vertical="bottom"/>
    </xf>
    <xf borderId="0" fillId="23" fontId="33" numFmtId="0" xfId="0" applyAlignment="1" applyFont="1">
      <alignment horizontal="center" vertical="bottom"/>
    </xf>
    <xf borderId="0" fillId="23" fontId="1" numFmtId="0" xfId="0" applyAlignment="1" applyFont="1">
      <alignment horizontal="center" vertical="bottom"/>
    </xf>
    <xf borderId="0" fillId="0" fontId="33" numFmtId="167" xfId="0" applyAlignment="1" applyFont="1" applyNumberFormat="1">
      <alignment horizontal="center" shrinkToFit="0" wrapText="1"/>
    </xf>
    <xf borderId="0" fillId="0" fontId="1" numFmtId="165" xfId="0" applyFont="1" applyNumberFormat="1"/>
    <xf borderId="0" fillId="0" fontId="1" numFmtId="0" xfId="0" applyFont="1"/>
    <xf borderId="0" fillId="24" fontId="12" numFmtId="0" xfId="0" applyAlignment="1" applyFill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shrinkToFit="0" vertical="bottom" wrapText="1"/>
    </xf>
    <xf borderId="0" fillId="0" fontId="33" numFmtId="167" xfId="0" applyAlignment="1" applyFont="1" applyNumberFormat="1">
      <alignment vertical="bottom"/>
    </xf>
    <xf borderId="0" fillId="0" fontId="33" numFmtId="0" xfId="0" applyAlignment="1" applyFont="1">
      <alignment horizontal="center"/>
    </xf>
    <xf borderId="0" fillId="0" fontId="33" numFmtId="0" xfId="0" applyAlignment="1" applyFont="1">
      <alignment horizontal="center" vertical="bottom"/>
    </xf>
    <xf borderId="0" fillId="0" fontId="33" numFmtId="0" xfId="0" applyAlignment="1" applyFont="1">
      <alignment vertical="bottom"/>
    </xf>
    <xf borderId="0" fillId="2" fontId="34" numFmtId="0" xfId="0" applyAlignment="1" applyFont="1">
      <alignment readingOrder="0"/>
    </xf>
    <xf borderId="0" fillId="25" fontId="25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15.75"/>
    <col customWidth="1" min="4" max="4" width="15.75"/>
    <col customWidth="1" min="5" max="5" width="3.25"/>
    <col customWidth="1" min="6" max="6" width="15.75"/>
    <col customWidth="1" min="8" max="8" width="15.75"/>
    <col customWidth="1" min="9" max="9" width="3.25"/>
    <col customWidth="1" min="10" max="10" width="15.75"/>
    <col customWidth="1" min="12" max="12" width="15.75"/>
    <col customWidth="1" min="13" max="13" width="3.25"/>
    <col customWidth="1" min="14" max="14" width="15.75"/>
    <col customWidth="1" min="16" max="16" width="15.75"/>
    <col customWidth="1" min="17" max="17" width="3.25"/>
  </cols>
  <sheetData>
    <row r="1">
      <c r="A1" s="1" t="str">
        <f>IFERROR(__xludf.DUMMYFUNCTION("IMPORTRANGE(Imports!B1, ""Preseason!A:Q"")"),"")</f>
        <v/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>
      <c r="A2" s="1"/>
      <c r="B2" s="2" t="str">
        <f>IFERROR(__xludf.DUMMYFUNCTION("""COMPUTED_VALUE"""),"Away")</f>
        <v>Away</v>
      </c>
      <c r="C2" s="3" t="str">
        <f>IFERROR(__xludf.DUMMYFUNCTION("""COMPUTED_VALUE"""),"Team Names")</f>
        <v>Team Names</v>
      </c>
      <c r="D2" s="2" t="str">
        <f>IFERROR(__xludf.DUMMYFUNCTION("""COMPUTED_VALUE"""),"Home")</f>
        <v>Home</v>
      </c>
      <c r="E2" s="1"/>
      <c r="F2" s="2" t="str">
        <f>IFERROR(__xludf.DUMMYFUNCTION("""COMPUTED_VALUE"""),"Away")</f>
        <v>Away</v>
      </c>
      <c r="G2" s="2" t="str">
        <f>IFERROR(__xludf.DUMMYFUNCTION("""COMPUTED_VALUE"""),"Team Names")</f>
        <v>Team Names</v>
      </c>
      <c r="H2" s="2" t="str">
        <f>IFERROR(__xludf.DUMMYFUNCTION("""COMPUTED_VALUE"""),"Home")</f>
        <v>Home</v>
      </c>
      <c r="I2" s="1"/>
      <c r="J2" s="2" t="str">
        <f>IFERROR(__xludf.DUMMYFUNCTION("""COMPUTED_VALUE"""),"Away")</f>
        <v>Away</v>
      </c>
      <c r="K2" s="3" t="str">
        <f>IFERROR(__xludf.DUMMYFUNCTION("""COMPUTED_VALUE"""),"Team Names")</f>
        <v>Team Names</v>
      </c>
      <c r="L2" s="2" t="str">
        <f>IFERROR(__xludf.DUMMYFUNCTION("""COMPUTED_VALUE"""),"Home")</f>
        <v>Home</v>
      </c>
      <c r="M2" s="1"/>
      <c r="N2" s="2" t="str">
        <f>IFERROR(__xludf.DUMMYFUNCTION("""COMPUTED_VALUE"""),"Away")</f>
        <v>Away</v>
      </c>
      <c r="O2" s="2" t="str">
        <f>IFERROR(__xludf.DUMMYFUNCTION("""COMPUTED_VALUE"""),"Team Names")</f>
        <v>Team Names</v>
      </c>
      <c r="P2" s="2" t="str">
        <f>IFERROR(__xludf.DUMMYFUNCTION("""COMPUTED_VALUE"""),"Home")</f>
        <v>Home</v>
      </c>
      <c r="Q2" s="1"/>
    </row>
    <row r="3">
      <c r="A3" s="1"/>
      <c r="B3" s="2" t="str">
        <f>IFERROR(__xludf.DUMMYFUNCTION("""COMPUTED_VALUE"""),"Premier")</f>
        <v>Premier</v>
      </c>
      <c r="E3" s="1"/>
      <c r="F3" s="2" t="str">
        <f>IFERROR(__xludf.DUMMYFUNCTION("""COMPUTED_VALUE"""),"Master")</f>
        <v>Master</v>
      </c>
      <c r="I3" s="1"/>
      <c r="J3" s="2" t="str">
        <f>IFERROR(__xludf.DUMMYFUNCTION("""COMPUTED_VALUE"""),"Elite")</f>
        <v>Elite</v>
      </c>
      <c r="M3" s="1"/>
      <c r="N3" s="2" t="str">
        <f>IFERROR(__xludf.DUMMYFUNCTION("""COMPUTED_VALUE"""),"Veteran")</f>
        <v>Veteran</v>
      </c>
      <c r="Q3" s="1"/>
    </row>
    <row r="4">
      <c r="A4" s="4"/>
      <c r="B4" s="5" t="str">
        <f>IFERROR(__xludf.DUMMYFUNCTION("""COMPUTED_VALUE"""),"Preseason Match Day #1")</f>
        <v>Preseason Match Day #1</v>
      </c>
      <c r="E4" s="4"/>
      <c r="F4" s="5" t="str">
        <f>IFERROR(__xludf.DUMMYFUNCTION("""COMPUTED_VALUE"""),"Preseason Match Day #1")</f>
        <v>Preseason Match Day #1</v>
      </c>
      <c r="I4" s="1"/>
      <c r="J4" s="5" t="str">
        <f>IFERROR(__xludf.DUMMYFUNCTION("""COMPUTED_VALUE"""),"Preseason Match Day #1")</f>
        <v>Preseason Match Day #1</v>
      </c>
      <c r="M4" s="4"/>
      <c r="N4" s="5" t="str">
        <f>IFERROR(__xludf.DUMMYFUNCTION("""COMPUTED_VALUE"""),"Preseason Match Day #1")</f>
        <v>Preseason Match Day #1</v>
      </c>
      <c r="Q4" s="4"/>
    </row>
    <row r="5">
      <c r="A5" s="4"/>
      <c r="B5" s="6" t="str">
        <f>IFERROR(__xludf.DUMMYFUNCTION("""COMPUTED_VALUE"""),"Super Clusters")</f>
        <v>Super Clusters</v>
      </c>
      <c r="C5" s="7" t="str">
        <f>IFERROR(__xludf.DUMMYFUNCTION("""COMPUTED_VALUE"""),"at")</f>
        <v>at</v>
      </c>
      <c r="D5" s="6" t="str">
        <f>IFERROR(__xludf.DUMMYFUNCTION("""COMPUTED_VALUE"""),"Gummy Bears")</f>
        <v>Gummy Bears</v>
      </c>
      <c r="E5" s="8"/>
      <c r="F5" s="9" t="str">
        <f>IFERROR(__xludf.DUMMYFUNCTION("""COMPUTED_VALUE"""),"Helicoprions")</f>
        <v>Helicoprions</v>
      </c>
      <c r="G5" s="10" t="str">
        <f>IFERROR(__xludf.DUMMYFUNCTION("""COMPUTED_VALUE"""),"at")</f>
        <v>at</v>
      </c>
      <c r="H5" s="9" t="str">
        <f>IFERROR(__xludf.DUMMYFUNCTION("""COMPUTED_VALUE"""),"Oblivion")</f>
        <v>Oblivion</v>
      </c>
      <c r="I5" s="11"/>
      <c r="J5" s="12" t="str">
        <f>IFERROR(__xludf.DUMMYFUNCTION("""COMPUTED_VALUE"""),"Sloths")</f>
        <v>Sloths</v>
      </c>
      <c r="K5" s="12" t="str">
        <f>IFERROR(__xludf.DUMMYFUNCTION("""COMPUTED_VALUE"""),"at")</f>
        <v>at</v>
      </c>
      <c r="L5" s="12" t="str">
        <f>IFERROR(__xludf.DUMMYFUNCTION("""COMPUTED_VALUE"""),"Dragon")</f>
        <v>Dragon</v>
      </c>
      <c r="M5" s="8"/>
      <c r="N5" s="13" t="str">
        <f>IFERROR(__xludf.DUMMYFUNCTION("""COMPUTED_VALUE"""),"Gorillas")</f>
        <v>Gorillas</v>
      </c>
      <c r="O5" s="13" t="str">
        <f>IFERROR(__xludf.DUMMYFUNCTION("""COMPUTED_VALUE"""),"at")</f>
        <v>at</v>
      </c>
      <c r="P5" s="13" t="str">
        <f>IFERROR(__xludf.DUMMYFUNCTION("""COMPUTED_VALUE"""),"Gargoyle")</f>
        <v>Gargoyle</v>
      </c>
      <c r="Q5" s="4"/>
    </row>
    <row r="6">
      <c r="A6" s="4"/>
      <c r="B6" s="7" t="str">
        <f>IFERROR(__xludf.DUMMYFUNCTION("""COMPUTED_VALUE"""),"Punks")</f>
        <v>Punks</v>
      </c>
      <c r="C6" s="7" t="str">
        <f>IFERROR(__xludf.DUMMYFUNCTION("""COMPUTED_VALUE"""),"at")</f>
        <v>at</v>
      </c>
      <c r="D6" s="6" t="str">
        <f>IFERROR(__xludf.DUMMYFUNCTION("""COMPUTED_VALUE"""),"Crooked Capos")</f>
        <v>Crooked Capos</v>
      </c>
      <c r="E6" s="14"/>
      <c r="F6" s="10" t="str">
        <f>IFERROR(__xludf.DUMMYFUNCTION("""COMPUTED_VALUE"""),"Care Bears")</f>
        <v>Care Bears</v>
      </c>
      <c r="G6" s="10" t="str">
        <f>IFERROR(__xludf.DUMMYFUNCTION("""COMPUTED_VALUE"""),"at")</f>
        <v>at</v>
      </c>
      <c r="H6" s="9" t="str">
        <f>IFERROR(__xludf.DUMMYFUNCTION("""COMPUTED_VALUE"""),"Lemurs")</f>
        <v>Lemurs</v>
      </c>
      <c r="I6" s="15"/>
      <c r="J6" s="16" t="str">
        <f>IFERROR(__xludf.DUMMYFUNCTION("""COMPUTED_VALUE"""),"Menthol")</f>
        <v>Menthol</v>
      </c>
      <c r="K6" s="16" t="str">
        <f>IFERROR(__xludf.DUMMYFUNCTION("""COMPUTED_VALUE"""),"at")</f>
        <v>at</v>
      </c>
      <c r="L6" s="16" t="str">
        <f>IFERROR(__xludf.DUMMYFUNCTION("""COMPUTED_VALUE"""),"Frostbite")</f>
        <v>Frostbite</v>
      </c>
      <c r="M6" s="14"/>
      <c r="N6" s="17" t="str">
        <f>IFERROR(__xludf.DUMMYFUNCTION("""COMPUTED_VALUE"""),"Peppermint")</f>
        <v>Peppermint</v>
      </c>
      <c r="O6" s="17" t="str">
        <f>IFERROR(__xludf.DUMMYFUNCTION("""COMPUTED_VALUE"""),"at")</f>
        <v>at</v>
      </c>
      <c r="P6" s="17" t="str">
        <f>IFERROR(__xludf.DUMMYFUNCTION("""COMPUTED_VALUE"""),"Avalanche")</f>
        <v>Avalanche</v>
      </c>
      <c r="Q6" s="4"/>
    </row>
    <row r="7">
      <c r="A7" s="4"/>
      <c r="B7" s="6" t="str">
        <f>IFERROR(__xludf.DUMMYFUNCTION("""COMPUTED_VALUE"""),"Interstellar")</f>
        <v>Interstellar</v>
      </c>
      <c r="C7" s="7" t="str">
        <f>IFERROR(__xludf.DUMMYFUNCTION("""COMPUTED_VALUE"""),"at")</f>
        <v>at</v>
      </c>
      <c r="D7" s="6" t="str">
        <f>IFERROR(__xludf.DUMMYFUNCTION("""COMPUTED_VALUE"""),"Feta Forgers")</f>
        <v>Feta Forgers</v>
      </c>
      <c r="E7" s="14"/>
      <c r="F7" s="9" t="str">
        <f>IFERROR(__xludf.DUMMYFUNCTION("""COMPUTED_VALUE"""),"Permafrost")</f>
        <v>Permafrost</v>
      </c>
      <c r="G7" s="10" t="str">
        <f>IFERROR(__xludf.DUMMYFUNCTION("""COMPUTED_VALUE"""),"at")</f>
        <v>at</v>
      </c>
      <c r="H7" s="9" t="str">
        <f>IFERROR(__xludf.DUMMYFUNCTION("""COMPUTED_VALUE"""),"Reapers")</f>
        <v>Reapers</v>
      </c>
      <c r="I7" s="15"/>
      <c r="J7" s="16" t="str">
        <f>IFERROR(__xludf.DUMMYFUNCTION("""COMPUTED_VALUE"""),"Peerless Scarred")</f>
        <v>Peerless Scarred</v>
      </c>
      <c r="K7" s="16" t="str">
        <f>IFERROR(__xludf.DUMMYFUNCTION("""COMPUTED_VALUE"""),"at")</f>
        <v>at</v>
      </c>
      <c r="L7" s="16" t="str">
        <f>IFERROR(__xludf.DUMMYFUNCTION("""COMPUTED_VALUE"""),"Desolation")</f>
        <v>Desolation</v>
      </c>
      <c r="M7" s="14"/>
      <c r="N7" s="17" t="str">
        <f>IFERROR(__xludf.DUMMYFUNCTION("""COMPUTED_VALUE"""),"Sons of Ares")</f>
        <v>Sons of Ares</v>
      </c>
      <c r="O7" s="17" t="str">
        <f>IFERROR(__xludf.DUMMYFUNCTION("""COMPUTED_VALUE"""),"at")</f>
        <v>at</v>
      </c>
      <c r="P7" s="17" t="str">
        <f>IFERROR(__xludf.DUMMYFUNCTION("""COMPUTED_VALUE"""),"Singularity")</f>
        <v>Singularity</v>
      </c>
      <c r="Q7" s="4"/>
    </row>
    <row r="8">
      <c r="A8" s="4"/>
      <c r="B8" s="6" t="str">
        <f>IFERROR(__xludf.DUMMYFUNCTION("""COMPUTED_VALUE"""),"Capybaras")</f>
        <v>Capybaras</v>
      </c>
      <c r="C8" s="7" t="str">
        <f>IFERROR(__xludf.DUMMYFUNCTION("""COMPUTED_VALUE"""),"at")</f>
        <v>at</v>
      </c>
      <c r="D8" s="6" t="str">
        <f>IFERROR(__xludf.DUMMYFUNCTION("""COMPUTED_VALUE"""),"Leviathans")</f>
        <v>Leviathans</v>
      </c>
      <c r="E8" s="14"/>
      <c r="F8" s="9" t="str">
        <f>IFERROR(__xludf.DUMMYFUNCTION("""COMPUTED_VALUE"""),"Battle Masters")</f>
        <v>Battle Masters</v>
      </c>
      <c r="G8" s="10" t="str">
        <f>IFERROR(__xludf.DUMMYFUNCTION("""COMPUTED_VALUE"""),"at")</f>
        <v>at</v>
      </c>
      <c r="H8" s="9" t="str">
        <f>IFERROR(__xludf.DUMMYFUNCTION("""COMPUTED_VALUE"""),"Spectres")</f>
        <v>Spectres</v>
      </c>
      <c r="I8" s="15"/>
      <c r="J8" s="16" t="str">
        <f>IFERROR(__xludf.DUMMYFUNCTION("""COMPUTED_VALUE"""),"Swordsman")</f>
        <v>Swordsman</v>
      </c>
      <c r="K8" s="16" t="str">
        <f>IFERROR(__xludf.DUMMYFUNCTION("""COMPUTED_VALUE"""),"at")</f>
        <v>at</v>
      </c>
      <c r="L8" s="16" t="str">
        <f>IFERROR(__xludf.DUMMYFUNCTION("""COMPUTED_VALUE"""),"Drive-by")</f>
        <v>Drive-by</v>
      </c>
      <c r="M8" s="14"/>
      <c r="N8" s="17" t="str">
        <f>IFERROR(__xludf.DUMMYFUNCTION("""COMPUTED_VALUE"""),"Navigators")</f>
        <v>Navigators</v>
      </c>
      <c r="O8" s="17" t="str">
        <f>IFERROR(__xludf.DUMMYFUNCTION("""COMPUTED_VALUE"""),"at")</f>
        <v>at</v>
      </c>
      <c r="P8" s="17" t="str">
        <f>IFERROR(__xludf.DUMMYFUNCTION("""COMPUTED_VALUE"""),"Street Rats")</f>
        <v>Street Rats</v>
      </c>
      <c r="Q8" s="4"/>
    </row>
    <row r="9">
      <c r="A9" s="4"/>
      <c r="B9" s="18" t="str">
        <f>IFERROR(__xludf.DUMMYFUNCTION("""COMPUTED_VALUE"""),"Preseason Match Day #2")</f>
        <v>Preseason Match Day #2</v>
      </c>
      <c r="C9" s="19"/>
      <c r="D9" s="19"/>
      <c r="E9" s="14"/>
      <c r="F9" s="10" t="str">
        <f>IFERROR(__xludf.DUMMYFUNCTION("""COMPUTED_VALUE"""),"Kawaii")</f>
        <v>Kawaii</v>
      </c>
      <c r="G9" s="10" t="str">
        <f>IFERROR(__xludf.DUMMYFUNCTION("""COMPUTED_VALUE"""),"at")</f>
        <v>at</v>
      </c>
      <c r="H9" s="9" t="str">
        <f>IFERROR(__xludf.DUMMYFUNCTION("""COMPUTED_VALUE"""),"Fromunda Frauds")</f>
        <v>Fromunda Frauds</v>
      </c>
      <c r="I9" s="15"/>
      <c r="J9" s="16" t="str">
        <f>IFERROR(__xludf.DUMMYFUNCTION("""COMPUTED_VALUE"""),"Great Whites")</f>
        <v>Great Whites</v>
      </c>
      <c r="K9" s="16" t="str">
        <f>IFERROR(__xludf.DUMMYFUNCTION("""COMPUTED_VALUE"""),"at")</f>
        <v>at</v>
      </c>
      <c r="L9" s="16" t="str">
        <f>IFERROR(__xludf.DUMMYFUNCTION("""COMPUTED_VALUE"""),"Orochi")</f>
        <v>Orochi</v>
      </c>
      <c r="M9" s="14"/>
      <c r="N9" s="17" t="str">
        <f>IFERROR(__xludf.DUMMYFUNCTION("""COMPUTED_VALUE"""),"Makos")</f>
        <v>Makos</v>
      </c>
      <c r="O9" s="17" t="str">
        <f>IFERROR(__xludf.DUMMYFUNCTION("""COMPUTED_VALUE"""),"at")</f>
        <v>at</v>
      </c>
      <c r="P9" s="17" t="str">
        <f>IFERROR(__xludf.DUMMYFUNCTION("""COMPUTED_VALUE"""),"Kirin")</f>
        <v>Kirin</v>
      </c>
      <c r="Q9" s="4"/>
    </row>
    <row r="10">
      <c r="A10" s="4"/>
      <c r="B10" s="6" t="str">
        <f>IFERROR(__xludf.DUMMYFUNCTION("""COMPUTED_VALUE"""),"Crooked Capos")</f>
        <v>Crooked Capos</v>
      </c>
      <c r="C10" s="7" t="str">
        <f>IFERROR(__xludf.DUMMYFUNCTION("""COMPUTED_VALUE"""),"at")</f>
        <v>at</v>
      </c>
      <c r="D10" s="6" t="str">
        <f>IFERROR(__xludf.DUMMYFUNCTION("""COMPUTED_VALUE"""),"Capybaras")</f>
        <v>Capybaras</v>
      </c>
      <c r="E10" s="14"/>
      <c r="F10" s="20" t="str">
        <f>IFERROR(__xludf.DUMMYFUNCTION("""COMPUTED_VALUE"""),"Heinous Henchmen")</f>
        <v>Heinous Henchmen</v>
      </c>
      <c r="G10" s="21" t="str">
        <f>IFERROR(__xludf.DUMMYFUNCTION("""COMPUTED_VALUE"""),"at")</f>
        <v>at</v>
      </c>
      <c r="H10" s="20" t="str">
        <f>IFERROR(__xludf.DUMMYFUNCTION("""COMPUTED_VALUE"""),"Andromeda")</f>
        <v>Andromeda</v>
      </c>
      <c r="I10" s="15"/>
      <c r="J10" s="16" t="str">
        <f>IFERROR(__xludf.DUMMYFUNCTION("""COMPUTED_VALUE"""),"Pixel Picassos")</f>
        <v>Pixel Picassos</v>
      </c>
      <c r="K10" s="16" t="str">
        <f>IFERROR(__xludf.DUMMYFUNCTION("""COMPUTED_VALUE"""),"at")</f>
        <v>at</v>
      </c>
      <c r="L10" s="16" t="str">
        <f>IFERROR(__xludf.DUMMYFUNCTION("""COMPUTED_VALUE"""),"Fire")</f>
        <v>Fire</v>
      </c>
      <c r="M10" s="14"/>
      <c r="N10" s="17" t="str">
        <f>IFERROR(__xludf.DUMMYFUNCTION("""COMPUTED_VALUE"""),"Mosaic Maestros")</f>
        <v>Mosaic Maestros</v>
      </c>
      <c r="O10" s="17" t="str">
        <f>IFERROR(__xludf.DUMMYFUNCTION("""COMPUTED_VALUE"""),"at")</f>
        <v>at</v>
      </c>
      <c r="P10" s="17" t="str">
        <f>IFERROR(__xludf.DUMMYFUNCTION("""COMPUTED_VALUE"""),"Water")</f>
        <v>Water</v>
      </c>
      <c r="Q10" s="4"/>
    </row>
    <row r="11">
      <c r="A11" s="4"/>
      <c r="B11" s="7" t="str">
        <f>IFERROR(__xludf.DUMMYFUNCTION("""COMPUTED_VALUE"""),"Gummy Bears")</f>
        <v>Gummy Bears</v>
      </c>
      <c r="C11" s="7" t="str">
        <f>IFERROR(__xludf.DUMMYFUNCTION("""COMPUTED_VALUE"""),"at")</f>
        <v>at</v>
      </c>
      <c r="D11" s="7" t="str">
        <f>IFERROR(__xludf.DUMMYFUNCTION("""COMPUTED_VALUE"""),"Interstellar")</f>
        <v>Interstellar</v>
      </c>
      <c r="E11" s="14"/>
      <c r="F11" s="22" t="str">
        <f>IFERROR(__xludf.DUMMYFUNCTION("""COMPUTED_VALUE"""),"Preseason Match Day #2")</f>
        <v>Preseason Match Day #2</v>
      </c>
      <c r="G11" s="19"/>
      <c r="H11" s="19"/>
      <c r="I11" s="14"/>
      <c r="J11" s="16" t="str">
        <f>IFERROR(__xludf.DUMMYFUNCTION("""COMPUTED_VALUE"""),"Praetorian Guard")</f>
        <v>Praetorian Guard</v>
      </c>
      <c r="K11" s="16" t="str">
        <f>IFERROR(__xludf.DUMMYFUNCTION("""COMPUTED_VALUE"""),"at")</f>
        <v>at</v>
      </c>
      <c r="L11" s="16" t="str">
        <f>IFERROR(__xludf.DUMMYFUNCTION("""COMPUTED_VALUE"""),"Teddy Bears")</f>
        <v>Teddy Bears</v>
      </c>
      <c r="M11" s="14"/>
      <c r="N11" s="17" t="str">
        <f>IFERROR(__xludf.DUMMYFUNCTION("""COMPUTED_VALUE"""),"Legati")</f>
        <v>Legati</v>
      </c>
      <c r="O11" s="17" t="str">
        <f>IFERROR(__xludf.DUMMYFUNCTION("""COMPUTED_VALUE"""),"at")</f>
        <v>at</v>
      </c>
      <c r="P11" s="17" t="str">
        <f>IFERROR(__xludf.DUMMYFUNCTION("""COMPUTED_VALUE"""),"Grizzly Bears")</f>
        <v>Grizzly Bears</v>
      </c>
      <c r="Q11" s="4"/>
    </row>
    <row r="12">
      <c r="A12" s="4"/>
      <c r="B12" s="6" t="str">
        <f>IFERROR(__xludf.DUMMYFUNCTION("""COMPUTED_VALUE"""),"Leviathans")</f>
        <v>Leviathans</v>
      </c>
      <c r="C12" s="7" t="str">
        <f>IFERROR(__xludf.DUMMYFUNCTION("""COMPUTED_VALUE"""),"at")</f>
        <v>at</v>
      </c>
      <c r="D12" s="6" t="str">
        <f>IFERROR(__xludf.DUMMYFUNCTION("""COMPUTED_VALUE"""),"Punks")</f>
        <v>Punks</v>
      </c>
      <c r="E12" s="14"/>
      <c r="F12" s="9" t="str">
        <f>IFERROR(__xludf.DUMMYFUNCTION("""COMPUTED_VALUE"""),"Spectres")</f>
        <v>Spectres</v>
      </c>
      <c r="G12" s="10" t="str">
        <f>IFERROR(__xludf.DUMMYFUNCTION("""COMPUTED_VALUE"""),"at")</f>
        <v>at</v>
      </c>
      <c r="H12" s="9" t="str">
        <f>IFERROR(__xludf.DUMMYFUNCTION("""COMPUTED_VALUE"""),"Helicoprions")</f>
        <v>Helicoprions</v>
      </c>
      <c r="I12" s="15"/>
      <c r="J12" s="16" t="str">
        <f>IFERROR(__xludf.DUMMYFUNCTION("""COMPUTED_VALUE"""),"Hellhounds")</f>
        <v>Hellhounds</v>
      </c>
      <c r="K12" s="16" t="str">
        <f>IFERROR(__xludf.DUMMYFUNCTION("""COMPUTED_VALUE"""),"at")</f>
        <v>at</v>
      </c>
      <c r="L12" s="16" t="str">
        <f>IFERROR(__xludf.DUMMYFUNCTION("""COMPUTED_VALUE"""),"Hydras")</f>
        <v>Hydras</v>
      </c>
      <c r="M12" s="14"/>
      <c r="N12" s="17" t="str">
        <f>IFERROR(__xludf.DUMMYFUNCTION("""COMPUTED_VALUE"""),"Shadow Tails")</f>
        <v>Shadow Tails</v>
      </c>
      <c r="O12" s="17" t="str">
        <f>IFERROR(__xludf.DUMMYFUNCTION("""COMPUTED_VALUE"""),"at")</f>
        <v>at</v>
      </c>
      <c r="P12" s="17" t="str">
        <f>IFERROR(__xludf.DUMMYFUNCTION("""COMPUTED_VALUE"""),"Lycans")</f>
        <v>Lycans</v>
      </c>
      <c r="Q12" s="4"/>
    </row>
    <row r="13">
      <c r="A13" s="4"/>
      <c r="B13" s="6" t="str">
        <f>IFERROR(__xludf.DUMMYFUNCTION("""COMPUTED_VALUE"""),"Feta Forgers")</f>
        <v>Feta Forgers</v>
      </c>
      <c r="C13" s="7" t="str">
        <f>IFERROR(__xludf.DUMMYFUNCTION("""COMPUTED_VALUE"""),"at")</f>
        <v>at</v>
      </c>
      <c r="D13" s="6" t="str">
        <f>IFERROR(__xludf.DUMMYFUNCTION("""COMPUTED_VALUE"""),"Super Clusters")</f>
        <v>Super Clusters</v>
      </c>
      <c r="E13" s="14"/>
      <c r="F13" s="9" t="str">
        <f>IFERROR(__xludf.DUMMYFUNCTION("""COMPUTED_VALUE"""),"Fromunda Frauds")</f>
        <v>Fromunda Frauds</v>
      </c>
      <c r="G13" s="10" t="str">
        <f>IFERROR(__xludf.DUMMYFUNCTION("""COMPUTED_VALUE"""),"at")</f>
        <v>at</v>
      </c>
      <c r="H13" s="9" t="str">
        <f>IFERROR(__xludf.DUMMYFUNCTION("""COMPUTED_VALUE"""),"Lemurs")</f>
        <v>Lemurs</v>
      </c>
      <c r="I13" s="15"/>
      <c r="J13" s="16" t="str">
        <f>IFERROR(__xludf.DUMMYFUNCTION("""COMPUTED_VALUE"""),"Embezzlers")</f>
        <v>Embezzlers</v>
      </c>
      <c r="K13" s="16" t="str">
        <f>IFERROR(__xludf.DUMMYFUNCTION("""COMPUTED_VALUE"""),"at")</f>
        <v>at</v>
      </c>
      <c r="L13" s="16" t="str">
        <f>IFERROR(__xludf.DUMMYFUNCTION("""COMPUTED_VALUE"""),"Cotija Cartel")</f>
        <v>Cotija Cartel</v>
      </c>
      <c r="M13" s="14"/>
      <c r="N13" s="17" t="str">
        <f>IFERROR(__xludf.DUMMYFUNCTION("""COMPUTED_VALUE"""),"White Collars")</f>
        <v>White Collars</v>
      </c>
      <c r="O13" s="17" t="str">
        <f>IFERROR(__xludf.DUMMYFUNCTION("""COMPUTED_VALUE"""),"at")</f>
        <v>at</v>
      </c>
      <c r="P13" s="17" t="str">
        <f>IFERROR(__xludf.DUMMYFUNCTION("""COMPUTED_VALUE"""),"Gouda Gangsters")</f>
        <v>Gouda Gangsters</v>
      </c>
      <c r="Q13" s="4"/>
    </row>
    <row r="14">
      <c r="A14" s="4"/>
      <c r="B14" s="18" t="str">
        <f>IFERROR(__xludf.DUMMYFUNCTION("""COMPUTED_VALUE"""),"Preseason Match Day #3")</f>
        <v>Preseason Match Day #3</v>
      </c>
      <c r="C14" s="19"/>
      <c r="D14" s="19"/>
      <c r="E14" s="14"/>
      <c r="F14" s="10" t="str">
        <f>IFERROR(__xludf.DUMMYFUNCTION("""COMPUTED_VALUE"""),"Kawaii")</f>
        <v>Kawaii</v>
      </c>
      <c r="G14" s="10" t="str">
        <f>IFERROR(__xludf.DUMMYFUNCTION("""COMPUTED_VALUE"""),"at")</f>
        <v>at</v>
      </c>
      <c r="H14" s="9" t="str">
        <f>IFERROR(__xludf.DUMMYFUNCTION("""COMPUTED_VALUE"""),"Permafrost")</f>
        <v>Permafrost</v>
      </c>
      <c r="I14" s="15"/>
      <c r="J14" s="16" t="str">
        <f>IFERROR(__xludf.DUMMYFUNCTION("""COMPUTED_VALUE"""),"Raptors")</f>
        <v>Raptors</v>
      </c>
      <c r="K14" s="16" t="str">
        <f>IFERROR(__xludf.DUMMYFUNCTION("""COMPUTED_VALUE"""),"at")</f>
        <v>at</v>
      </c>
      <c r="L14" s="16" t="str">
        <f>IFERROR(__xludf.DUMMYFUNCTION("""COMPUTED_VALUE"""),"Ghastly Goombahs")</f>
        <v>Ghastly Goombahs</v>
      </c>
      <c r="M14" s="14"/>
      <c r="N14" s="17" t="str">
        <f>IFERROR(__xludf.DUMMYFUNCTION("""COMPUTED_VALUE"""),"Nighthawks")</f>
        <v>Nighthawks</v>
      </c>
      <c r="O14" s="17" t="str">
        <f>IFERROR(__xludf.DUMMYFUNCTION("""COMPUTED_VALUE"""),"at")</f>
        <v>at</v>
      </c>
      <c r="P14" s="17" t="str">
        <f>IFERROR(__xludf.DUMMYFUNCTION("""COMPUTED_VALUE"""),"Merciless Mob")</f>
        <v>Merciless Mob</v>
      </c>
      <c r="Q14" s="4"/>
    </row>
    <row r="15">
      <c r="A15" s="4"/>
      <c r="B15" s="6" t="str">
        <f>IFERROR(__xludf.DUMMYFUNCTION("""COMPUTED_VALUE"""),"Capybaras")</f>
        <v>Capybaras</v>
      </c>
      <c r="C15" s="6" t="str">
        <f>IFERROR(__xludf.DUMMYFUNCTION("""COMPUTED_VALUE"""),"at")</f>
        <v>at</v>
      </c>
      <c r="D15" s="6" t="str">
        <f>IFERROR(__xludf.DUMMYFUNCTION("""COMPUTED_VALUE"""),"Super Clusters")</f>
        <v>Super Clusters</v>
      </c>
      <c r="E15" s="14"/>
      <c r="F15" s="9" t="str">
        <f>IFERROR(__xludf.DUMMYFUNCTION("""COMPUTED_VALUE"""),"Reapers")</f>
        <v>Reapers</v>
      </c>
      <c r="G15" s="10" t="str">
        <f>IFERROR(__xludf.DUMMYFUNCTION("""COMPUTED_VALUE"""),"at")</f>
        <v>at</v>
      </c>
      <c r="H15" s="9" t="str">
        <f>IFERROR(__xludf.DUMMYFUNCTION("""COMPUTED_VALUE"""),"Heinous Henchmen")</f>
        <v>Heinous Henchmen</v>
      </c>
      <c r="I15" s="15"/>
      <c r="J15" s="16" t="str">
        <f>IFERROR(__xludf.DUMMYFUNCTION("""COMPUTED_VALUE"""),"Forge Defenders")</f>
        <v>Forge Defenders</v>
      </c>
      <c r="K15" s="16" t="str">
        <f>IFERROR(__xludf.DUMMYFUNCTION("""COMPUTED_VALUE"""),"at")</f>
        <v>at</v>
      </c>
      <c r="L15" s="16" t="str">
        <f>IFERROR(__xludf.DUMMYFUNCTION("""COMPUTED_VALUE"""),"Thrashers")</f>
        <v>Thrashers</v>
      </c>
      <c r="M15" s="14"/>
      <c r="N15" s="17" t="str">
        <f>IFERROR(__xludf.DUMMYFUNCTION("""COMPUTED_VALUE"""),"Blacksmiths")</f>
        <v>Blacksmiths</v>
      </c>
      <c r="O15" s="17" t="str">
        <f>IFERROR(__xludf.DUMMYFUNCTION("""COMPUTED_VALUE"""),"at")</f>
        <v>at</v>
      </c>
      <c r="P15" s="17" t="str">
        <f>IFERROR(__xludf.DUMMYFUNCTION("""COMPUTED_VALUE"""),"Folks")</f>
        <v>Folks</v>
      </c>
      <c r="Q15" s="4"/>
    </row>
    <row r="16">
      <c r="A16" s="4"/>
      <c r="B16" s="6" t="str">
        <f>IFERROR(__xludf.DUMMYFUNCTION("""COMPUTED_VALUE"""),"Interstellar")</f>
        <v>Interstellar</v>
      </c>
      <c r="C16" s="7" t="str">
        <f>IFERROR(__xludf.DUMMYFUNCTION("""COMPUTED_VALUE"""),"at")</f>
        <v>at</v>
      </c>
      <c r="D16" s="6" t="str">
        <f>IFERROR(__xludf.DUMMYFUNCTION("""COMPUTED_VALUE"""),"Punks")</f>
        <v>Punks</v>
      </c>
      <c r="E16" s="14"/>
      <c r="F16" s="9" t="str">
        <f>IFERROR(__xludf.DUMMYFUNCTION("""COMPUTED_VALUE"""),"Oblivion")</f>
        <v>Oblivion</v>
      </c>
      <c r="G16" s="10" t="str">
        <f>IFERROR(__xludf.DUMMYFUNCTION("""COMPUTED_VALUE"""),"at")</f>
        <v>at</v>
      </c>
      <c r="H16" s="9" t="str">
        <f>IFERROR(__xludf.DUMMYFUNCTION("""COMPUTED_VALUE"""),"Battle Masters")</f>
        <v>Battle Masters</v>
      </c>
      <c r="I16" s="15"/>
      <c r="J16" s="16" t="str">
        <f>IFERROR(__xludf.DUMMYFUNCTION("""COMPUTED_VALUE"""),"Immortals")</f>
        <v>Immortals</v>
      </c>
      <c r="K16" s="16" t="str">
        <f>IFERROR(__xludf.DUMMYFUNCTION("""COMPUTED_VALUE"""),"at")</f>
        <v>at</v>
      </c>
      <c r="L16" s="16" t="str">
        <f>IFERROR(__xludf.DUMMYFUNCTION("""COMPUTED_VALUE"""),"Black-Holes")</f>
        <v>Black-Holes</v>
      </c>
      <c r="M16" s="14"/>
      <c r="N16" s="17" t="str">
        <f>IFERROR(__xludf.DUMMYFUNCTION("""COMPUTED_VALUE"""),"Berserkers")</f>
        <v>Berserkers</v>
      </c>
      <c r="O16" s="17" t="str">
        <f>IFERROR(__xludf.DUMMYFUNCTION("""COMPUTED_VALUE"""),"at")</f>
        <v>at</v>
      </c>
      <c r="P16" s="17" t="str">
        <f>IFERROR(__xludf.DUMMYFUNCTION("""COMPUTED_VALUE"""),"Supernova")</f>
        <v>Supernova</v>
      </c>
      <c r="Q16" s="4"/>
    </row>
    <row r="17">
      <c r="A17" s="4"/>
      <c r="B17" s="7" t="str">
        <f>IFERROR(__xludf.DUMMYFUNCTION("""COMPUTED_VALUE"""),"Crooked Capos")</f>
        <v>Crooked Capos</v>
      </c>
      <c r="C17" s="7" t="str">
        <f>IFERROR(__xludf.DUMMYFUNCTION("""COMPUTED_VALUE"""),"at")</f>
        <v>at</v>
      </c>
      <c r="D17" s="6" t="str">
        <f>IFERROR(__xludf.DUMMYFUNCTION("""COMPUTED_VALUE"""),"Gummy Bears")</f>
        <v>Gummy Bears</v>
      </c>
      <c r="E17" s="14"/>
      <c r="F17" s="21" t="str">
        <f>IFERROR(__xludf.DUMMYFUNCTION("""COMPUTED_VALUE"""),"Care Bears")</f>
        <v>Care Bears</v>
      </c>
      <c r="G17" s="21" t="str">
        <f>IFERROR(__xludf.DUMMYFUNCTION("""COMPUTED_VALUE"""),"at")</f>
        <v>at</v>
      </c>
      <c r="H17" s="20" t="str">
        <f>IFERROR(__xludf.DUMMYFUNCTION("""COMPUTED_VALUE"""),"Andromeda")</f>
        <v>Andromeda</v>
      </c>
      <c r="I17" s="15"/>
      <c r="J17" s="16" t="str">
        <f>IFERROR(__xludf.DUMMYFUNCTION("""COMPUTED_VALUE"""),"Gelato")</f>
        <v>Gelato</v>
      </c>
      <c r="K17" s="16" t="str">
        <f>IFERROR(__xludf.DUMMYFUNCTION("""COMPUTED_VALUE"""),"at")</f>
        <v>at</v>
      </c>
      <c r="L17" s="16" t="str">
        <f>IFERROR(__xludf.DUMMYFUNCTION("""COMPUTED_VALUE"""),"Demons")</f>
        <v>Demons</v>
      </c>
      <c r="M17" s="14"/>
      <c r="N17" s="17" t="str">
        <f>IFERROR(__xludf.DUMMYFUNCTION("""COMPUTED_VALUE"""),"Cannoli")</f>
        <v>Cannoli</v>
      </c>
      <c r="O17" s="17" t="str">
        <f>IFERROR(__xludf.DUMMYFUNCTION("""COMPUTED_VALUE"""),"at")</f>
        <v>at</v>
      </c>
      <c r="P17" s="17" t="str">
        <f>IFERROR(__xludf.DUMMYFUNCTION("""COMPUTED_VALUE"""),"Banshees")</f>
        <v>Banshees</v>
      </c>
      <c r="Q17" s="4"/>
    </row>
    <row r="18">
      <c r="A18" s="4"/>
      <c r="B18" s="23" t="str">
        <f>IFERROR(__xludf.DUMMYFUNCTION("""COMPUTED_VALUE"""),"Leviathans")</f>
        <v>Leviathans</v>
      </c>
      <c r="C18" s="23" t="str">
        <f>IFERROR(__xludf.DUMMYFUNCTION("""COMPUTED_VALUE"""),"at")</f>
        <v>at</v>
      </c>
      <c r="D18" s="23" t="str">
        <f>IFERROR(__xludf.DUMMYFUNCTION("""COMPUTED_VALUE"""),"Feta Forgers")</f>
        <v>Feta Forgers</v>
      </c>
      <c r="E18" s="14"/>
      <c r="F18" s="22" t="str">
        <f>IFERROR(__xludf.DUMMYFUNCTION("""COMPUTED_VALUE"""),"Preseason Match Day #3")</f>
        <v>Preseason Match Day #3</v>
      </c>
      <c r="G18" s="19"/>
      <c r="H18" s="19"/>
      <c r="I18" s="15"/>
      <c r="J18" s="16" t="str">
        <f>IFERROR(__xludf.DUMMYFUNCTION("""COMPUTED_VALUE"""),"Despair")</f>
        <v>Despair</v>
      </c>
      <c r="K18" s="16" t="str">
        <f>IFERROR(__xludf.DUMMYFUNCTION("""COMPUTED_VALUE"""),"at")</f>
        <v>at</v>
      </c>
      <c r="L18" s="16" t="str">
        <f>IFERROR(__xludf.DUMMYFUNCTION("""COMPUTED_VALUE"""),"Afterburners")</f>
        <v>Afterburners</v>
      </c>
      <c r="M18" s="14"/>
      <c r="N18" s="17" t="str">
        <f>IFERROR(__xludf.DUMMYFUNCTION("""COMPUTED_VALUE"""),"Dread")</f>
        <v>Dread</v>
      </c>
      <c r="O18" s="17" t="str">
        <f>IFERROR(__xludf.DUMMYFUNCTION("""COMPUTED_VALUE"""),"at")</f>
        <v>at</v>
      </c>
      <c r="P18" s="17" t="str">
        <f>IFERROR(__xludf.DUMMYFUNCTION("""COMPUTED_VALUE"""),"Dogfight")</f>
        <v>Dogfight</v>
      </c>
      <c r="Q18" s="4"/>
    </row>
    <row r="19">
      <c r="A19" s="4"/>
      <c r="B19" s="24"/>
      <c r="C19" s="25"/>
      <c r="D19" s="24"/>
      <c r="E19" s="14"/>
      <c r="F19" s="9" t="str">
        <f>IFERROR(__xludf.DUMMYFUNCTION("""COMPUTED_VALUE"""),"Lemurs")</f>
        <v>Lemurs</v>
      </c>
      <c r="G19" s="10" t="str">
        <f>IFERROR(__xludf.DUMMYFUNCTION("""COMPUTED_VALUE"""),"at")</f>
        <v>at</v>
      </c>
      <c r="H19" s="9" t="str">
        <f>IFERROR(__xludf.DUMMYFUNCTION("""COMPUTED_VALUE"""),"Permafrost")</f>
        <v>Permafrost</v>
      </c>
      <c r="I19" s="15"/>
      <c r="J19" s="16" t="str">
        <f>IFERROR(__xludf.DUMMYFUNCTION("""COMPUTED_VALUE"""),"Krakens")</f>
        <v>Krakens</v>
      </c>
      <c r="K19" s="16" t="str">
        <f>IFERROR(__xludf.DUMMYFUNCTION("""COMPUTED_VALUE"""),"at")</f>
        <v>at</v>
      </c>
      <c r="L19" s="16" t="str">
        <f>IFERROR(__xludf.DUMMYFUNCTION("""COMPUTED_VALUE"""),"Dik-diks")</f>
        <v>Dik-diks</v>
      </c>
      <c r="M19" s="14"/>
      <c r="N19" s="17" t="str">
        <f>IFERROR(__xludf.DUMMYFUNCTION("""COMPUTED_VALUE"""),"Giant Squids")</f>
        <v>Giant Squids</v>
      </c>
      <c r="O19" s="17" t="str">
        <f>IFERROR(__xludf.DUMMYFUNCTION("""COMPUTED_VALUE"""),"at")</f>
        <v>at</v>
      </c>
      <c r="P19" s="17" t="str">
        <f>IFERROR(__xludf.DUMMYFUNCTION("""COMPUTED_VALUE"""),"Giraffes")</f>
        <v>Giraffes</v>
      </c>
      <c r="Q19" s="4"/>
    </row>
    <row r="20">
      <c r="A20" s="4"/>
      <c r="B20" s="24"/>
      <c r="C20" s="25"/>
      <c r="D20" s="25"/>
      <c r="E20" s="14"/>
      <c r="F20" s="9" t="str">
        <f>IFERROR(__xludf.DUMMYFUNCTION("""COMPUTED_VALUE"""),"Oblivion")</f>
        <v>Oblivion</v>
      </c>
      <c r="G20" s="10" t="str">
        <f>IFERROR(__xludf.DUMMYFUNCTION("""COMPUTED_VALUE"""),"at")</f>
        <v>at</v>
      </c>
      <c r="H20" s="10" t="str">
        <f>IFERROR(__xludf.DUMMYFUNCTION("""COMPUTED_VALUE"""),"Care Bears")</f>
        <v>Care Bears</v>
      </c>
      <c r="I20" s="15"/>
      <c r="J20" s="16" t="str">
        <f>IFERROR(__xludf.DUMMYFUNCTION("""COMPUTED_VALUE"""),"Commanders")</f>
        <v>Commanders</v>
      </c>
      <c r="K20" s="16" t="str">
        <f>IFERROR(__xludf.DUMMYFUNCTION("""COMPUTED_VALUE"""),"at")</f>
        <v>at</v>
      </c>
      <c r="L20" s="16" t="str">
        <f>IFERROR(__xludf.DUMMYFUNCTION("""COMPUTED_VALUE"""),"Forest Cobra")</f>
        <v>Forest Cobra</v>
      </c>
      <c r="M20" s="14"/>
      <c r="N20" s="17" t="str">
        <f>IFERROR(__xludf.DUMMYFUNCTION("""COMPUTED_VALUE"""),"Mages")</f>
        <v>Mages</v>
      </c>
      <c r="O20" s="17" t="str">
        <f>IFERROR(__xludf.DUMMYFUNCTION("""COMPUTED_VALUE"""),"at")</f>
        <v>at</v>
      </c>
      <c r="P20" s="17" t="str">
        <f>IFERROR(__xludf.DUMMYFUNCTION("""COMPUTED_VALUE"""),"Fer-de-Lance")</f>
        <v>Fer-de-Lance</v>
      </c>
      <c r="Q20" s="4"/>
    </row>
    <row r="21">
      <c r="A21" s="4"/>
      <c r="B21" s="24"/>
      <c r="C21" s="25"/>
      <c r="D21" s="24"/>
      <c r="E21" s="14"/>
      <c r="F21" s="9" t="str">
        <f>IFERROR(__xludf.DUMMYFUNCTION("""COMPUTED_VALUE"""),"Helicoprions")</f>
        <v>Helicoprions</v>
      </c>
      <c r="G21" s="10" t="str">
        <f>IFERROR(__xludf.DUMMYFUNCTION("""COMPUTED_VALUE"""),"at")</f>
        <v>at</v>
      </c>
      <c r="H21" s="9" t="str">
        <f>IFERROR(__xludf.DUMMYFUNCTION("""COMPUTED_VALUE"""),"Reapers")</f>
        <v>Reapers</v>
      </c>
      <c r="I21" s="15"/>
      <c r="J21" s="26" t="str">
        <f>IFERROR(__xludf.DUMMYFUNCTION("""COMPUTED_VALUE"""),"Preseason Match Day #2")</f>
        <v>Preseason Match Day #2</v>
      </c>
      <c r="K21" s="27"/>
      <c r="L21" s="27"/>
      <c r="M21" s="14"/>
      <c r="N21" s="26" t="str">
        <f>IFERROR(__xludf.DUMMYFUNCTION("""COMPUTED_VALUE"""),"Preseason Match Day #2")</f>
        <v>Preseason Match Day #2</v>
      </c>
      <c r="O21" s="27"/>
      <c r="P21" s="27"/>
      <c r="Q21" s="4"/>
    </row>
    <row r="22">
      <c r="A22" s="4"/>
      <c r="B22" s="24"/>
      <c r="C22" s="25"/>
      <c r="D22" s="24"/>
      <c r="E22" s="14"/>
      <c r="F22" s="9" t="str">
        <f>IFERROR(__xludf.DUMMYFUNCTION("""COMPUTED_VALUE"""),"Fromunda Frauds")</f>
        <v>Fromunda Frauds</v>
      </c>
      <c r="G22" s="9" t="str">
        <f>IFERROR(__xludf.DUMMYFUNCTION("""COMPUTED_VALUE"""),"at")</f>
        <v>at</v>
      </c>
      <c r="H22" s="9" t="str">
        <f>IFERROR(__xludf.DUMMYFUNCTION("""COMPUTED_VALUE"""),"Heinous Henchmen")</f>
        <v>Heinous Henchmen</v>
      </c>
      <c r="I22" s="15"/>
      <c r="J22" s="16" t="str">
        <f>IFERROR(__xludf.DUMMYFUNCTION("""COMPUTED_VALUE"""),"Dragon")</f>
        <v>Dragon</v>
      </c>
      <c r="K22" s="16" t="str">
        <f>IFERROR(__xludf.DUMMYFUNCTION("""COMPUTED_VALUE"""),"at")</f>
        <v>at</v>
      </c>
      <c r="L22" s="16" t="str">
        <f>IFERROR(__xludf.DUMMYFUNCTION("""COMPUTED_VALUE"""),"Hellhounds")</f>
        <v>Hellhounds</v>
      </c>
      <c r="M22" s="14"/>
      <c r="N22" s="17" t="str">
        <f>IFERROR(__xludf.DUMMYFUNCTION("""COMPUTED_VALUE"""),"Gargoyle")</f>
        <v>Gargoyle</v>
      </c>
      <c r="O22" s="17" t="str">
        <f>IFERROR(__xludf.DUMMYFUNCTION("""COMPUTED_VALUE"""),"at")</f>
        <v>at</v>
      </c>
      <c r="P22" s="17" t="str">
        <f>IFERROR(__xludf.DUMMYFUNCTION("""COMPUTED_VALUE"""),"Shadow Tails")</f>
        <v>Shadow Tails</v>
      </c>
      <c r="Q22" s="4"/>
    </row>
    <row r="23">
      <c r="A23" s="4"/>
      <c r="B23" s="24"/>
      <c r="C23" s="25"/>
      <c r="D23" s="24"/>
      <c r="E23" s="14"/>
      <c r="F23" s="9" t="str">
        <f>IFERROR(__xludf.DUMMYFUNCTION("""COMPUTED_VALUE"""),"Battle Masters")</f>
        <v>Battle Masters</v>
      </c>
      <c r="G23" s="10" t="str">
        <f>IFERROR(__xludf.DUMMYFUNCTION("""COMPUTED_VALUE"""),"at")</f>
        <v>at</v>
      </c>
      <c r="H23" s="10" t="str">
        <f>IFERROR(__xludf.DUMMYFUNCTION("""COMPUTED_VALUE"""),"Kawaii")</f>
        <v>Kawaii</v>
      </c>
      <c r="I23" s="15"/>
      <c r="J23" s="16" t="str">
        <f>IFERROR(__xludf.DUMMYFUNCTION("""COMPUTED_VALUE"""),"Teddy Bears")</f>
        <v>Teddy Bears</v>
      </c>
      <c r="K23" s="16" t="str">
        <f>IFERROR(__xludf.DUMMYFUNCTION("""COMPUTED_VALUE"""),"at")</f>
        <v>at</v>
      </c>
      <c r="L23" s="16" t="str">
        <f>IFERROR(__xludf.DUMMYFUNCTION("""COMPUTED_VALUE"""),"Menthol")</f>
        <v>Menthol</v>
      </c>
      <c r="M23" s="14"/>
      <c r="N23" s="17" t="str">
        <f>IFERROR(__xludf.DUMMYFUNCTION("""COMPUTED_VALUE"""),"Grizzly Bears")</f>
        <v>Grizzly Bears</v>
      </c>
      <c r="O23" s="17" t="str">
        <f>IFERROR(__xludf.DUMMYFUNCTION("""COMPUTED_VALUE"""),"at")</f>
        <v>at</v>
      </c>
      <c r="P23" s="17" t="str">
        <f>IFERROR(__xludf.DUMMYFUNCTION("""COMPUTED_VALUE"""),"Peppermint")</f>
        <v>Peppermint</v>
      </c>
      <c r="Q23" s="4"/>
    </row>
    <row r="24">
      <c r="A24" s="4"/>
      <c r="B24" s="28"/>
      <c r="C24" s="29"/>
      <c r="D24" s="28"/>
      <c r="E24" s="14"/>
      <c r="F24" s="20" t="str">
        <f>IFERROR(__xludf.DUMMYFUNCTION("""COMPUTED_VALUE"""),"Andromeda")</f>
        <v>Andromeda</v>
      </c>
      <c r="G24" s="21" t="str">
        <f>IFERROR(__xludf.DUMMYFUNCTION("""COMPUTED_VALUE"""),"at")</f>
        <v>at</v>
      </c>
      <c r="H24" s="20" t="str">
        <f>IFERROR(__xludf.DUMMYFUNCTION("""COMPUTED_VALUE"""),"Spectres")</f>
        <v>Spectres</v>
      </c>
      <c r="I24" s="15"/>
      <c r="J24" s="16" t="str">
        <f>IFERROR(__xludf.DUMMYFUNCTION("""COMPUTED_VALUE"""),"Hydras")</f>
        <v>Hydras</v>
      </c>
      <c r="K24" s="16" t="str">
        <f>IFERROR(__xludf.DUMMYFUNCTION("""COMPUTED_VALUE"""),"at")</f>
        <v>at</v>
      </c>
      <c r="L24" s="16" t="str">
        <f>IFERROR(__xludf.DUMMYFUNCTION("""COMPUTED_VALUE"""),"Sloths")</f>
        <v>Sloths</v>
      </c>
      <c r="M24" s="14"/>
      <c r="N24" s="17" t="str">
        <f>IFERROR(__xludf.DUMMYFUNCTION("""COMPUTED_VALUE"""),"Lycans")</f>
        <v>Lycans</v>
      </c>
      <c r="O24" s="17" t="str">
        <f>IFERROR(__xludf.DUMMYFUNCTION("""COMPUTED_VALUE"""),"at")</f>
        <v>at</v>
      </c>
      <c r="P24" s="17" t="str">
        <f>IFERROR(__xludf.DUMMYFUNCTION("""COMPUTED_VALUE"""),"Gorillas")</f>
        <v>Gorillas</v>
      </c>
      <c r="Q24" s="4"/>
    </row>
    <row r="25">
      <c r="A25" s="4"/>
      <c r="B25" s="14"/>
      <c r="C25" s="14"/>
      <c r="D25" s="14"/>
      <c r="E25" s="14"/>
      <c r="F25" s="25"/>
      <c r="G25" s="25"/>
      <c r="H25" s="25"/>
      <c r="I25" s="15"/>
      <c r="J25" s="16" t="str">
        <f>IFERROR(__xludf.DUMMYFUNCTION("""COMPUTED_VALUE"""),"Frostbite")</f>
        <v>Frostbite</v>
      </c>
      <c r="K25" s="16" t="str">
        <f>IFERROR(__xludf.DUMMYFUNCTION("""COMPUTED_VALUE"""),"at")</f>
        <v>at</v>
      </c>
      <c r="L25" s="16" t="str">
        <f>IFERROR(__xludf.DUMMYFUNCTION("""COMPUTED_VALUE"""),"Praetorian Guard")</f>
        <v>Praetorian Guard</v>
      </c>
      <c r="M25" s="14"/>
      <c r="N25" s="17" t="str">
        <f>IFERROR(__xludf.DUMMYFUNCTION("""COMPUTED_VALUE"""),"Avalanche")</f>
        <v>Avalanche</v>
      </c>
      <c r="O25" s="17" t="str">
        <f>IFERROR(__xludf.DUMMYFUNCTION("""COMPUTED_VALUE"""),"at")</f>
        <v>at</v>
      </c>
      <c r="P25" s="17" t="str">
        <f>IFERROR(__xludf.DUMMYFUNCTION("""COMPUTED_VALUE"""),"Legati")</f>
        <v>Legati</v>
      </c>
      <c r="Q25" s="4"/>
    </row>
    <row r="26">
      <c r="A26" s="4"/>
      <c r="B26" s="14"/>
      <c r="C26" s="14"/>
      <c r="D26" s="14"/>
      <c r="E26" s="14"/>
      <c r="F26" s="25"/>
      <c r="G26" s="25"/>
      <c r="H26" s="25"/>
      <c r="I26" s="15"/>
      <c r="J26" s="16" t="str">
        <f>IFERROR(__xludf.DUMMYFUNCTION("""COMPUTED_VALUE"""),"Fire")</f>
        <v>Fire</v>
      </c>
      <c r="K26" s="16" t="str">
        <f>IFERROR(__xludf.DUMMYFUNCTION("""COMPUTED_VALUE"""),"at")</f>
        <v>at</v>
      </c>
      <c r="L26" s="16" t="str">
        <f>IFERROR(__xludf.DUMMYFUNCTION("""COMPUTED_VALUE"""),"Peerless Scarred")</f>
        <v>Peerless Scarred</v>
      </c>
      <c r="M26" s="14"/>
      <c r="N26" s="17" t="str">
        <f>IFERROR(__xludf.DUMMYFUNCTION("""COMPUTED_VALUE"""),"Water")</f>
        <v>Water</v>
      </c>
      <c r="O26" s="17" t="str">
        <f>IFERROR(__xludf.DUMMYFUNCTION("""COMPUTED_VALUE"""),"at")</f>
        <v>at</v>
      </c>
      <c r="P26" s="17" t="str">
        <f>IFERROR(__xludf.DUMMYFUNCTION("""COMPUTED_VALUE"""),"Sons of Ares")</f>
        <v>Sons of Ares</v>
      </c>
      <c r="Q26" s="4"/>
    </row>
    <row r="27">
      <c r="A27" s="4"/>
      <c r="B27" s="14"/>
      <c r="C27" s="14"/>
      <c r="D27" s="14"/>
      <c r="E27" s="14"/>
      <c r="F27" s="25"/>
      <c r="G27" s="25"/>
      <c r="H27" s="25"/>
      <c r="I27" s="15"/>
      <c r="J27" s="16" t="str">
        <f>IFERROR(__xludf.DUMMYFUNCTION("""COMPUTED_VALUE"""),"Desolation")</f>
        <v>Desolation</v>
      </c>
      <c r="K27" s="16" t="str">
        <f>IFERROR(__xludf.DUMMYFUNCTION("""COMPUTED_VALUE"""),"at")</f>
        <v>at</v>
      </c>
      <c r="L27" s="16" t="str">
        <f>IFERROR(__xludf.DUMMYFUNCTION("""COMPUTED_VALUE"""),"Pixel Picassos")</f>
        <v>Pixel Picassos</v>
      </c>
      <c r="M27" s="14"/>
      <c r="N27" s="17" t="str">
        <f>IFERROR(__xludf.DUMMYFUNCTION("""COMPUTED_VALUE"""),"Singularity")</f>
        <v>Singularity</v>
      </c>
      <c r="O27" s="17" t="str">
        <f>IFERROR(__xludf.DUMMYFUNCTION("""COMPUTED_VALUE"""),"at")</f>
        <v>at</v>
      </c>
      <c r="P27" s="17" t="str">
        <f>IFERROR(__xludf.DUMMYFUNCTION("""COMPUTED_VALUE"""),"Mosaic Maestros")</f>
        <v>Mosaic Maestros</v>
      </c>
      <c r="Q27" s="4"/>
    </row>
    <row r="28">
      <c r="A28" s="4"/>
      <c r="B28" s="14"/>
      <c r="C28" s="14"/>
      <c r="D28" s="14"/>
      <c r="E28" s="14"/>
      <c r="F28" s="25"/>
      <c r="G28" s="25"/>
      <c r="H28" s="25"/>
      <c r="I28" s="15"/>
      <c r="J28" s="16" t="str">
        <f>IFERROR(__xludf.DUMMYFUNCTION("""COMPUTED_VALUE"""),"Drive-by")</f>
        <v>Drive-by</v>
      </c>
      <c r="K28" s="16" t="str">
        <f>IFERROR(__xludf.DUMMYFUNCTION("""COMPUTED_VALUE"""),"at")</f>
        <v>at</v>
      </c>
      <c r="L28" s="16" t="str">
        <f>IFERROR(__xludf.DUMMYFUNCTION("""COMPUTED_VALUE"""),"Great Whites")</f>
        <v>Great Whites</v>
      </c>
      <c r="M28" s="14"/>
      <c r="N28" s="17" t="str">
        <f>IFERROR(__xludf.DUMMYFUNCTION("""COMPUTED_VALUE"""),"Street Rats")</f>
        <v>Street Rats</v>
      </c>
      <c r="O28" s="17" t="str">
        <f>IFERROR(__xludf.DUMMYFUNCTION("""COMPUTED_VALUE"""),"at")</f>
        <v>at</v>
      </c>
      <c r="P28" s="17" t="str">
        <f>IFERROR(__xludf.DUMMYFUNCTION("""COMPUTED_VALUE"""),"Makos")</f>
        <v>Makos</v>
      </c>
      <c r="Q28" s="4"/>
    </row>
    <row r="29">
      <c r="A29" s="4"/>
      <c r="B29" s="14"/>
      <c r="C29" s="14"/>
      <c r="D29" s="14"/>
      <c r="E29" s="14"/>
      <c r="F29" s="25"/>
      <c r="G29" s="25"/>
      <c r="H29" s="25"/>
      <c r="I29" s="15"/>
      <c r="J29" s="16" t="str">
        <f>IFERROR(__xludf.DUMMYFUNCTION("""COMPUTED_VALUE"""),"Orochi")</f>
        <v>Orochi</v>
      </c>
      <c r="K29" s="16" t="str">
        <f>IFERROR(__xludf.DUMMYFUNCTION("""COMPUTED_VALUE"""),"at")</f>
        <v>at</v>
      </c>
      <c r="L29" s="16" t="str">
        <f>IFERROR(__xludf.DUMMYFUNCTION("""COMPUTED_VALUE"""),"Swordsman")</f>
        <v>Swordsman</v>
      </c>
      <c r="M29" s="14"/>
      <c r="N29" s="17" t="str">
        <f>IFERROR(__xludf.DUMMYFUNCTION("""COMPUTED_VALUE"""),"Kirin")</f>
        <v>Kirin</v>
      </c>
      <c r="O29" s="17" t="str">
        <f>IFERROR(__xludf.DUMMYFUNCTION("""COMPUTED_VALUE"""),"at")</f>
        <v>at</v>
      </c>
      <c r="P29" s="17" t="str">
        <f>IFERROR(__xludf.DUMMYFUNCTION("""COMPUTED_VALUE"""),"Navigators")</f>
        <v>Navigators</v>
      </c>
      <c r="Q29" s="4"/>
    </row>
    <row r="30">
      <c r="A30" s="4"/>
      <c r="B30" s="14"/>
      <c r="C30" s="14"/>
      <c r="D30" s="14"/>
      <c r="E30" s="14"/>
      <c r="F30" s="25"/>
      <c r="G30" s="25"/>
      <c r="H30" s="25"/>
      <c r="I30" s="15"/>
      <c r="J30" s="16" t="str">
        <f>IFERROR(__xludf.DUMMYFUNCTION("""COMPUTED_VALUE"""),"Forest Cobra")</f>
        <v>Forest Cobra</v>
      </c>
      <c r="K30" s="16" t="str">
        <f>IFERROR(__xludf.DUMMYFUNCTION("""COMPUTED_VALUE"""),"at")</f>
        <v>at</v>
      </c>
      <c r="L30" s="16" t="str">
        <f>IFERROR(__xludf.DUMMYFUNCTION("""COMPUTED_VALUE"""),"Embezzlers")</f>
        <v>Embezzlers</v>
      </c>
      <c r="M30" s="14"/>
      <c r="N30" s="17" t="str">
        <f>IFERROR(__xludf.DUMMYFUNCTION("""COMPUTED_VALUE"""),"Fer-de-Lance")</f>
        <v>Fer-de-Lance</v>
      </c>
      <c r="O30" s="17" t="str">
        <f>IFERROR(__xludf.DUMMYFUNCTION("""COMPUTED_VALUE"""),"at")</f>
        <v>at</v>
      </c>
      <c r="P30" s="17" t="str">
        <f>IFERROR(__xludf.DUMMYFUNCTION("""COMPUTED_VALUE"""),"White Collars")</f>
        <v>White Collars</v>
      </c>
      <c r="Q30" s="4"/>
    </row>
    <row r="31">
      <c r="A31" s="4"/>
      <c r="B31" s="14"/>
      <c r="C31" s="14"/>
      <c r="D31" s="14"/>
      <c r="E31" s="14"/>
      <c r="F31" s="14"/>
      <c r="G31" s="14"/>
      <c r="H31" s="14"/>
      <c r="I31" s="15"/>
      <c r="J31" s="16" t="str">
        <f>IFERROR(__xludf.DUMMYFUNCTION("""COMPUTED_VALUE"""),"Commanders")</f>
        <v>Commanders</v>
      </c>
      <c r="K31" s="16" t="str">
        <f>IFERROR(__xludf.DUMMYFUNCTION("""COMPUTED_VALUE"""),"at")</f>
        <v>at</v>
      </c>
      <c r="L31" s="16" t="str">
        <f>IFERROR(__xludf.DUMMYFUNCTION("""COMPUTED_VALUE"""),"Cotija Cartel")</f>
        <v>Cotija Cartel</v>
      </c>
      <c r="M31" s="14"/>
      <c r="N31" s="17" t="str">
        <f>IFERROR(__xludf.DUMMYFUNCTION("""COMPUTED_VALUE"""),"Mages")</f>
        <v>Mages</v>
      </c>
      <c r="O31" s="17" t="str">
        <f>IFERROR(__xludf.DUMMYFUNCTION("""COMPUTED_VALUE"""),"at")</f>
        <v>at</v>
      </c>
      <c r="P31" s="17" t="str">
        <f>IFERROR(__xludf.DUMMYFUNCTION("""COMPUTED_VALUE"""),"Gouda Gangsters")</f>
        <v>Gouda Gangsters</v>
      </c>
      <c r="Q31" s="4"/>
    </row>
    <row r="32">
      <c r="A32" s="4"/>
      <c r="B32" s="14"/>
      <c r="C32" s="14"/>
      <c r="D32" s="14"/>
      <c r="E32" s="14"/>
      <c r="F32" s="14"/>
      <c r="G32" s="14"/>
      <c r="H32" s="14"/>
      <c r="I32" s="15"/>
      <c r="J32" s="16" t="str">
        <f>IFERROR(__xludf.DUMMYFUNCTION("""COMPUTED_VALUE"""),"Ghastly Goombahs")</f>
        <v>Ghastly Goombahs</v>
      </c>
      <c r="K32" s="16" t="str">
        <f>IFERROR(__xludf.DUMMYFUNCTION("""COMPUTED_VALUE"""),"at")</f>
        <v>at</v>
      </c>
      <c r="L32" s="16" t="str">
        <f>IFERROR(__xludf.DUMMYFUNCTION("""COMPUTED_VALUE"""),"Krakens")</f>
        <v>Krakens</v>
      </c>
      <c r="M32" s="14"/>
      <c r="N32" s="17" t="str">
        <f>IFERROR(__xludf.DUMMYFUNCTION("""COMPUTED_VALUE"""),"Merciless Mob")</f>
        <v>Merciless Mob</v>
      </c>
      <c r="O32" s="17" t="str">
        <f>IFERROR(__xludf.DUMMYFUNCTION("""COMPUTED_VALUE"""),"at")</f>
        <v>at</v>
      </c>
      <c r="P32" s="17" t="str">
        <f>IFERROR(__xludf.DUMMYFUNCTION("""COMPUTED_VALUE"""),"Giant Squids")</f>
        <v>Giant Squids</v>
      </c>
      <c r="Q32" s="4"/>
    </row>
    <row r="33">
      <c r="A33" s="4"/>
      <c r="B33" s="14"/>
      <c r="C33" s="14"/>
      <c r="D33" s="14"/>
      <c r="E33" s="14"/>
      <c r="F33" s="14"/>
      <c r="G33" s="14"/>
      <c r="H33" s="14"/>
      <c r="I33" s="15"/>
      <c r="J33" s="16" t="str">
        <f>IFERROR(__xludf.DUMMYFUNCTION("""COMPUTED_VALUE"""),"Dik-diks")</f>
        <v>Dik-diks</v>
      </c>
      <c r="K33" s="16" t="str">
        <f>IFERROR(__xludf.DUMMYFUNCTION("""COMPUTED_VALUE"""),"at")</f>
        <v>at</v>
      </c>
      <c r="L33" s="16" t="str">
        <f>IFERROR(__xludf.DUMMYFUNCTION("""COMPUTED_VALUE"""),"Raptors")</f>
        <v>Raptors</v>
      </c>
      <c r="M33" s="14"/>
      <c r="N33" s="17" t="str">
        <f>IFERROR(__xludf.DUMMYFUNCTION("""COMPUTED_VALUE"""),"Giraffes")</f>
        <v>Giraffes</v>
      </c>
      <c r="O33" s="17" t="str">
        <f>IFERROR(__xludf.DUMMYFUNCTION("""COMPUTED_VALUE"""),"at")</f>
        <v>at</v>
      </c>
      <c r="P33" s="17" t="str">
        <f>IFERROR(__xludf.DUMMYFUNCTION("""COMPUTED_VALUE"""),"Nighthawks")</f>
        <v>Nighthawks</v>
      </c>
      <c r="Q33" s="4"/>
    </row>
    <row r="34">
      <c r="A34" s="4"/>
      <c r="B34" s="14"/>
      <c r="C34" s="14"/>
      <c r="D34" s="14"/>
      <c r="E34" s="14"/>
      <c r="F34" s="14"/>
      <c r="G34" s="14"/>
      <c r="H34" s="14"/>
      <c r="I34" s="15"/>
      <c r="J34" s="16" t="str">
        <f>IFERROR(__xludf.DUMMYFUNCTION("""COMPUTED_VALUE"""),"Afterburners")</f>
        <v>Afterburners</v>
      </c>
      <c r="K34" s="16" t="str">
        <f>IFERROR(__xludf.DUMMYFUNCTION("""COMPUTED_VALUE"""),"at")</f>
        <v>at</v>
      </c>
      <c r="L34" s="16" t="str">
        <f>IFERROR(__xludf.DUMMYFUNCTION("""COMPUTED_VALUE"""),"Forge Defenders")</f>
        <v>Forge Defenders</v>
      </c>
      <c r="M34" s="14"/>
      <c r="N34" s="17" t="str">
        <f>IFERROR(__xludf.DUMMYFUNCTION("""COMPUTED_VALUE"""),"Dogfight")</f>
        <v>Dogfight</v>
      </c>
      <c r="O34" s="17" t="str">
        <f>IFERROR(__xludf.DUMMYFUNCTION("""COMPUTED_VALUE"""),"at")</f>
        <v>at</v>
      </c>
      <c r="P34" s="17" t="str">
        <f>IFERROR(__xludf.DUMMYFUNCTION("""COMPUTED_VALUE"""),"Blacksmiths")</f>
        <v>Blacksmiths</v>
      </c>
      <c r="Q34" s="4"/>
    </row>
    <row r="35">
      <c r="A35" s="4"/>
      <c r="B35" s="14"/>
      <c r="C35" s="14"/>
      <c r="D35" s="14"/>
      <c r="E35" s="14"/>
      <c r="F35" s="14"/>
      <c r="G35" s="14"/>
      <c r="H35" s="14"/>
      <c r="I35" s="15"/>
      <c r="J35" s="16" t="str">
        <f>IFERROR(__xludf.DUMMYFUNCTION("""COMPUTED_VALUE"""),"Thrashers")</f>
        <v>Thrashers</v>
      </c>
      <c r="K35" s="16" t="str">
        <f>IFERROR(__xludf.DUMMYFUNCTION("""COMPUTED_VALUE"""),"at")</f>
        <v>at</v>
      </c>
      <c r="L35" s="16" t="str">
        <f>IFERROR(__xludf.DUMMYFUNCTION("""COMPUTED_VALUE"""),"Despair")</f>
        <v>Despair</v>
      </c>
      <c r="M35" s="14"/>
      <c r="N35" s="17" t="str">
        <f>IFERROR(__xludf.DUMMYFUNCTION("""COMPUTED_VALUE"""),"Folks")</f>
        <v>Folks</v>
      </c>
      <c r="O35" s="17" t="str">
        <f>IFERROR(__xludf.DUMMYFUNCTION("""COMPUTED_VALUE"""),"at")</f>
        <v>at</v>
      </c>
      <c r="P35" s="17" t="str">
        <f>IFERROR(__xludf.DUMMYFUNCTION("""COMPUTED_VALUE"""),"Dread")</f>
        <v>Dread</v>
      </c>
      <c r="Q35" s="4"/>
    </row>
    <row r="36">
      <c r="A36" s="4"/>
      <c r="B36" s="14"/>
      <c r="C36" s="14"/>
      <c r="D36" s="14"/>
      <c r="E36" s="14"/>
      <c r="F36" s="14"/>
      <c r="G36" s="14"/>
      <c r="H36" s="14"/>
      <c r="I36" s="15"/>
      <c r="J36" s="16" t="str">
        <f>IFERROR(__xludf.DUMMYFUNCTION("""COMPUTED_VALUE"""),"Black-Holes")</f>
        <v>Black-Holes</v>
      </c>
      <c r="K36" s="16" t="str">
        <f>IFERROR(__xludf.DUMMYFUNCTION("""COMPUTED_VALUE"""),"at")</f>
        <v>at</v>
      </c>
      <c r="L36" s="16" t="str">
        <f>IFERROR(__xludf.DUMMYFUNCTION("""COMPUTED_VALUE"""),"Gelato")</f>
        <v>Gelato</v>
      </c>
      <c r="M36" s="14"/>
      <c r="N36" s="17" t="str">
        <f>IFERROR(__xludf.DUMMYFUNCTION("""COMPUTED_VALUE"""),"Supernova")</f>
        <v>Supernova</v>
      </c>
      <c r="O36" s="17" t="str">
        <f>IFERROR(__xludf.DUMMYFUNCTION("""COMPUTED_VALUE"""),"at")</f>
        <v>at</v>
      </c>
      <c r="P36" s="17" t="str">
        <f>IFERROR(__xludf.DUMMYFUNCTION("""COMPUTED_VALUE"""),"Cannoli")</f>
        <v>Cannoli</v>
      </c>
      <c r="Q36" s="4"/>
    </row>
    <row r="37">
      <c r="A37" s="4"/>
      <c r="B37" s="14"/>
      <c r="C37" s="14"/>
      <c r="D37" s="14"/>
      <c r="E37" s="14"/>
      <c r="F37" s="14"/>
      <c r="G37" s="14"/>
      <c r="H37" s="14"/>
      <c r="I37" s="15"/>
      <c r="J37" s="16" t="str">
        <f>IFERROR(__xludf.DUMMYFUNCTION("""COMPUTED_VALUE"""),"Demons")</f>
        <v>Demons</v>
      </c>
      <c r="K37" s="16" t="str">
        <f>IFERROR(__xludf.DUMMYFUNCTION("""COMPUTED_VALUE"""),"at")</f>
        <v>at</v>
      </c>
      <c r="L37" s="16" t="str">
        <f>IFERROR(__xludf.DUMMYFUNCTION("""COMPUTED_VALUE"""),"Immortals")</f>
        <v>Immortals</v>
      </c>
      <c r="M37" s="14"/>
      <c r="N37" s="17" t="str">
        <f>IFERROR(__xludf.DUMMYFUNCTION("""COMPUTED_VALUE"""),"Banshees")</f>
        <v>Banshees</v>
      </c>
      <c r="O37" s="17" t="str">
        <f>IFERROR(__xludf.DUMMYFUNCTION("""COMPUTED_VALUE"""),"at")</f>
        <v>at</v>
      </c>
      <c r="P37" s="17" t="str">
        <f>IFERROR(__xludf.DUMMYFUNCTION("""COMPUTED_VALUE"""),"Berserkers")</f>
        <v>Berserkers</v>
      </c>
      <c r="Q37" s="4"/>
    </row>
    <row r="38">
      <c r="A38" s="4"/>
      <c r="B38" s="14"/>
      <c r="C38" s="14"/>
      <c r="D38" s="14"/>
      <c r="E38" s="14"/>
      <c r="F38" s="14"/>
      <c r="G38" s="14"/>
      <c r="H38" s="14"/>
      <c r="I38" s="15"/>
      <c r="J38" s="30" t="str">
        <f>IFERROR(__xludf.DUMMYFUNCTION("""COMPUTED_VALUE"""),"Preseason Match Day #3")</f>
        <v>Preseason Match Day #3</v>
      </c>
      <c r="K38" s="27"/>
      <c r="L38" s="27"/>
      <c r="M38" s="14"/>
      <c r="N38" s="30" t="str">
        <f>IFERROR(__xludf.DUMMYFUNCTION("""COMPUTED_VALUE"""),"Preseason Match Day #3")</f>
        <v>Preseason Match Day #3</v>
      </c>
      <c r="O38" s="27"/>
      <c r="P38" s="27"/>
      <c r="Q38" s="4"/>
    </row>
    <row r="39">
      <c r="A39" s="4"/>
      <c r="B39" s="14"/>
      <c r="C39" s="14"/>
      <c r="D39" s="14"/>
      <c r="E39" s="14"/>
      <c r="F39" s="14"/>
      <c r="G39" s="14"/>
      <c r="H39" s="14"/>
      <c r="I39" s="15"/>
      <c r="J39" s="16" t="str">
        <f>IFERROR(__xludf.DUMMYFUNCTION("""COMPUTED_VALUE"""),"Desolation")</f>
        <v>Desolation</v>
      </c>
      <c r="K39" s="16" t="str">
        <f>IFERROR(__xludf.DUMMYFUNCTION("""COMPUTED_VALUE"""),"at")</f>
        <v>at</v>
      </c>
      <c r="L39" s="16" t="str">
        <f>IFERROR(__xludf.DUMMYFUNCTION("""COMPUTED_VALUE"""),"Embezzlers")</f>
        <v>Embezzlers</v>
      </c>
      <c r="M39" s="14"/>
      <c r="N39" s="17" t="str">
        <f>IFERROR(__xludf.DUMMYFUNCTION("""COMPUTED_VALUE"""),"Singularity")</f>
        <v>Singularity</v>
      </c>
      <c r="O39" s="17" t="str">
        <f>IFERROR(__xludf.DUMMYFUNCTION("""COMPUTED_VALUE"""),"at")</f>
        <v>at</v>
      </c>
      <c r="P39" s="17" t="str">
        <f>IFERROR(__xludf.DUMMYFUNCTION("""COMPUTED_VALUE"""),"White Collars")</f>
        <v>White Collars</v>
      </c>
      <c r="Q39" s="4"/>
    </row>
    <row r="40">
      <c r="A40" s="4"/>
      <c r="B40" s="14"/>
      <c r="C40" s="14"/>
      <c r="D40" s="14"/>
      <c r="E40" s="14"/>
      <c r="F40" s="14"/>
      <c r="G40" s="14"/>
      <c r="H40" s="14"/>
      <c r="I40" s="15"/>
      <c r="J40" s="16" t="str">
        <f>IFERROR(__xludf.DUMMYFUNCTION("""COMPUTED_VALUE"""),"Swordsman")</f>
        <v>Swordsman</v>
      </c>
      <c r="K40" s="16" t="str">
        <f>IFERROR(__xludf.DUMMYFUNCTION("""COMPUTED_VALUE"""),"at")</f>
        <v>at</v>
      </c>
      <c r="L40" s="16" t="str">
        <f>IFERROR(__xludf.DUMMYFUNCTION("""COMPUTED_VALUE"""),"Raptors")</f>
        <v>Raptors</v>
      </c>
      <c r="M40" s="14"/>
      <c r="N40" s="17" t="str">
        <f>IFERROR(__xludf.DUMMYFUNCTION("""COMPUTED_VALUE"""),"Navigators")</f>
        <v>Navigators</v>
      </c>
      <c r="O40" s="17" t="str">
        <f>IFERROR(__xludf.DUMMYFUNCTION("""COMPUTED_VALUE"""),"at")</f>
        <v>at</v>
      </c>
      <c r="P40" s="17" t="str">
        <f>IFERROR(__xludf.DUMMYFUNCTION("""COMPUTED_VALUE"""),"Nighthawks")</f>
        <v>Nighthawks</v>
      </c>
      <c r="Q40" s="4"/>
    </row>
    <row r="41">
      <c r="A41" s="4"/>
      <c r="B41" s="14"/>
      <c r="C41" s="14"/>
      <c r="D41" s="14"/>
      <c r="E41" s="14"/>
      <c r="F41" s="14"/>
      <c r="G41" s="14"/>
      <c r="H41" s="14"/>
      <c r="I41" s="15"/>
      <c r="J41" s="16" t="str">
        <f>IFERROR(__xludf.DUMMYFUNCTION("""COMPUTED_VALUE"""),"Cotija Cartel")</f>
        <v>Cotija Cartel</v>
      </c>
      <c r="K41" s="16" t="str">
        <f>IFERROR(__xludf.DUMMYFUNCTION("""COMPUTED_VALUE"""),"at")</f>
        <v>at</v>
      </c>
      <c r="L41" s="16" t="str">
        <f>IFERROR(__xludf.DUMMYFUNCTION("""COMPUTED_VALUE"""),"Peerless Scarred")</f>
        <v>Peerless Scarred</v>
      </c>
      <c r="M41" s="14"/>
      <c r="N41" s="17" t="str">
        <f>IFERROR(__xludf.DUMMYFUNCTION("""COMPUTED_VALUE"""),"Gouda Gangsters")</f>
        <v>Gouda Gangsters</v>
      </c>
      <c r="O41" s="17" t="str">
        <f>IFERROR(__xludf.DUMMYFUNCTION("""COMPUTED_VALUE"""),"at")</f>
        <v>at</v>
      </c>
      <c r="P41" s="17" t="str">
        <f>IFERROR(__xludf.DUMMYFUNCTION("""COMPUTED_VALUE"""),"Sons of Ares")</f>
        <v>Sons of Ares</v>
      </c>
      <c r="Q41" s="4"/>
    </row>
    <row r="42">
      <c r="A42" s="4"/>
      <c r="B42" s="14"/>
      <c r="C42" s="14"/>
      <c r="D42" s="14"/>
      <c r="E42" s="14"/>
      <c r="F42" s="14"/>
      <c r="G42" s="14"/>
      <c r="H42" s="14"/>
      <c r="I42" s="15"/>
      <c r="J42" s="16" t="str">
        <f>IFERROR(__xludf.DUMMYFUNCTION("""COMPUTED_VALUE"""),"Drive-by")</f>
        <v>Drive-by</v>
      </c>
      <c r="K42" s="16" t="str">
        <f>IFERROR(__xludf.DUMMYFUNCTION("""COMPUTED_VALUE"""),"at")</f>
        <v>at</v>
      </c>
      <c r="L42" s="16" t="str">
        <f>IFERROR(__xludf.DUMMYFUNCTION("""COMPUTED_VALUE"""),"Ghastly Goombahs")</f>
        <v>Ghastly Goombahs</v>
      </c>
      <c r="M42" s="14"/>
      <c r="N42" s="17" t="str">
        <f>IFERROR(__xludf.DUMMYFUNCTION("""COMPUTED_VALUE"""),"Street Rats")</f>
        <v>Street Rats</v>
      </c>
      <c r="O42" s="17" t="str">
        <f>IFERROR(__xludf.DUMMYFUNCTION("""COMPUTED_VALUE"""),"at")</f>
        <v>at</v>
      </c>
      <c r="P42" s="17" t="str">
        <f>IFERROR(__xludf.DUMMYFUNCTION("""COMPUTED_VALUE"""),"Merciless Mob")</f>
        <v>Merciless Mob</v>
      </c>
      <c r="Q42" s="4"/>
    </row>
    <row r="43">
      <c r="A43" s="4"/>
      <c r="B43" s="14"/>
      <c r="C43" s="14"/>
      <c r="D43" s="14"/>
      <c r="E43" s="14"/>
      <c r="F43" s="14"/>
      <c r="G43" s="14"/>
      <c r="H43" s="14"/>
      <c r="I43" s="15"/>
      <c r="J43" s="16" t="str">
        <f>IFERROR(__xludf.DUMMYFUNCTION("""COMPUTED_VALUE"""),"Sloths")</f>
        <v>Sloths</v>
      </c>
      <c r="K43" s="16" t="str">
        <f>IFERROR(__xludf.DUMMYFUNCTION("""COMPUTED_VALUE"""),"at")</f>
        <v>at</v>
      </c>
      <c r="L43" s="16" t="str">
        <f>IFERROR(__xludf.DUMMYFUNCTION("""COMPUTED_VALUE"""),"Thrashers")</f>
        <v>Thrashers</v>
      </c>
      <c r="M43" s="14"/>
      <c r="N43" s="17" t="str">
        <f>IFERROR(__xludf.DUMMYFUNCTION("""COMPUTED_VALUE"""),"Gorillas")</f>
        <v>Gorillas</v>
      </c>
      <c r="O43" s="17" t="str">
        <f>IFERROR(__xludf.DUMMYFUNCTION("""COMPUTED_VALUE"""),"at")</f>
        <v>at</v>
      </c>
      <c r="P43" s="17" t="str">
        <f>IFERROR(__xludf.DUMMYFUNCTION("""COMPUTED_VALUE"""),"Folks")</f>
        <v>Folks</v>
      </c>
      <c r="Q43" s="4"/>
    </row>
    <row r="44">
      <c r="A44" s="4"/>
      <c r="B44" s="14"/>
      <c r="C44" s="14"/>
      <c r="D44" s="14"/>
      <c r="E44" s="14"/>
      <c r="F44" s="14"/>
      <c r="G44" s="14"/>
      <c r="H44" s="14"/>
      <c r="I44" s="15"/>
      <c r="J44" s="16" t="str">
        <f>IFERROR(__xludf.DUMMYFUNCTION("""COMPUTED_VALUE"""),"Dragon")</f>
        <v>Dragon</v>
      </c>
      <c r="K44" s="16" t="str">
        <f>IFERROR(__xludf.DUMMYFUNCTION("""COMPUTED_VALUE"""),"at")</f>
        <v>at</v>
      </c>
      <c r="L44" s="16" t="str">
        <f>IFERROR(__xludf.DUMMYFUNCTION("""COMPUTED_VALUE"""),"Forge Defenders")</f>
        <v>Forge Defenders</v>
      </c>
      <c r="M44" s="14"/>
      <c r="N44" s="17" t="str">
        <f>IFERROR(__xludf.DUMMYFUNCTION("""COMPUTED_VALUE"""),"Gargoyle")</f>
        <v>Gargoyle</v>
      </c>
      <c r="O44" s="17" t="str">
        <f>IFERROR(__xludf.DUMMYFUNCTION("""COMPUTED_VALUE"""),"at")</f>
        <v>at</v>
      </c>
      <c r="P44" s="17" t="str">
        <f>IFERROR(__xludf.DUMMYFUNCTION("""COMPUTED_VALUE"""),"Blacksmiths")</f>
        <v>Blacksmiths</v>
      </c>
      <c r="Q44" s="4"/>
    </row>
    <row r="45">
      <c r="A45" s="4"/>
      <c r="B45" s="14"/>
      <c r="C45" s="14"/>
      <c r="D45" s="14"/>
      <c r="E45" s="14"/>
      <c r="F45" s="14"/>
      <c r="G45" s="14"/>
      <c r="H45" s="14"/>
      <c r="I45" s="15"/>
      <c r="J45" s="16" t="str">
        <f>IFERROR(__xludf.DUMMYFUNCTION("""COMPUTED_VALUE"""),"Frostbite")</f>
        <v>Frostbite</v>
      </c>
      <c r="K45" s="16" t="str">
        <f>IFERROR(__xludf.DUMMYFUNCTION("""COMPUTED_VALUE"""),"at")</f>
        <v>at</v>
      </c>
      <c r="L45" s="16" t="str">
        <f>IFERROR(__xludf.DUMMYFUNCTION("""COMPUTED_VALUE"""),"Black-Holes")</f>
        <v>Black-Holes</v>
      </c>
      <c r="M45" s="14"/>
      <c r="N45" s="17" t="str">
        <f>IFERROR(__xludf.DUMMYFUNCTION("""COMPUTED_VALUE"""),"Avalanche")</f>
        <v>Avalanche</v>
      </c>
      <c r="O45" s="17" t="str">
        <f>IFERROR(__xludf.DUMMYFUNCTION("""COMPUTED_VALUE"""),"at")</f>
        <v>at</v>
      </c>
      <c r="P45" s="17" t="str">
        <f>IFERROR(__xludf.DUMMYFUNCTION("""COMPUTED_VALUE"""),"Supernova")</f>
        <v>Supernova</v>
      </c>
      <c r="Q45" s="4"/>
    </row>
    <row r="46">
      <c r="A46" s="4"/>
      <c r="B46" s="14"/>
      <c r="C46" s="14"/>
      <c r="D46" s="14"/>
      <c r="E46" s="14"/>
      <c r="F46" s="14"/>
      <c r="G46" s="14"/>
      <c r="H46" s="14"/>
      <c r="I46" s="15"/>
      <c r="J46" s="16" t="str">
        <f>IFERROR(__xludf.DUMMYFUNCTION("""COMPUTED_VALUE"""),"Menthol")</f>
        <v>Menthol</v>
      </c>
      <c r="K46" s="16" t="str">
        <f>IFERROR(__xludf.DUMMYFUNCTION("""COMPUTED_VALUE"""),"at")</f>
        <v>at</v>
      </c>
      <c r="L46" s="16" t="str">
        <f>IFERROR(__xludf.DUMMYFUNCTION("""COMPUTED_VALUE"""),"Immortals")</f>
        <v>Immortals</v>
      </c>
      <c r="M46" s="14"/>
      <c r="N46" s="17" t="str">
        <f>IFERROR(__xludf.DUMMYFUNCTION("""COMPUTED_VALUE"""),"Peppermint")</f>
        <v>Peppermint</v>
      </c>
      <c r="O46" s="17" t="str">
        <f>IFERROR(__xludf.DUMMYFUNCTION("""COMPUTED_VALUE"""),"at")</f>
        <v>at</v>
      </c>
      <c r="P46" s="17" t="str">
        <f>IFERROR(__xludf.DUMMYFUNCTION("""COMPUTED_VALUE"""),"Berserkers")</f>
        <v>Berserkers</v>
      </c>
      <c r="Q46" s="4"/>
    </row>
    <row r="47">
      <c r="A47" s="4"/>
      <c r="B47" s="14"/>
      <c r="C47" s="14"/>
      <c r="D47" s="14"/>
      <c r="E47" s="14"/>
      <c r="F47" s="14"/>
      <c r="G47" s="14"/>
      <c r="H47" s="14"/>
      <c r="I47" s="15"/>
      <c r="J47" s="16" t="str">
        <f>IFERROR(__xludf.DUMMYFUNCTION("""COMPUTED_VALUE"""),"Praetorian Guard")</f>
        <v>Praetorian Guard</v>
      </c>
      <c r="K47" s="16" t="str">
        <f>IFERROR(__xludf.DUMMYFUNCTION("""COMPUTED_VALUE"""),"at")</f>
        <v>at</v>
      </c>
      <c r="L47" s="16" t="str">
        <f>IFERROR(__xludf.DUMMYFUNCTION("""COMPUTED_VALUE"""),"Demons")</f>
        <v>Demons</v>
      </c>
      <c r="M47" s="14"/>
      <c r="N47" s="17" t="str">
        <f>IFERROR(__xludf.DUMMYFUNCTION("""COMPUTED_VALUE"""),"Legati")</f>
        <v>Legati</v>
      </c>
      <c r="O47" s="17" t="str">
        <f>IFERROR(__xludf.DUMMYFUNCTION("""COMPUTED_VALUE"""),"at")</f>
        <v>at</v>
      </c>
      <c r="P47" s="17" t="str">
        <f>IFERROR(__xludf.DUMMYFUNCTION("""COMPUTED_VALUE"""),"Banshees")</f>
        <v>Banshees</v>
      </c>
      <c r="Q47" s="4"/>
    </row>
    <row r="48">
      <c r="A48" s="4"/>
      <c r="B48" s="14"/>
      <c r="C48" s="14"/>
      <c r="D48" s="14"/>
      <c r="E48" s="14"/>
      <c r="F48" s="14"/>
      <c r="G48" s="14"/>
      <c r="H48" s="14"/>
      <c r="I48" s="15"/>
      <c r="J48" s="16" t="str">
        <f>IFERROR(__xludf.DUMMYFUNCTION("""COMPUTED_VALUE"""),"Teddy Bears")</f>
        <v>Teddy Bears</v>
      </c>
      <c r="K48" s="16" t="str">
        <f>IFERROR(__xludf.DUMMYFUNCTION("""COMPUTED_VALUE"""),"at")</f>
        <v>at</v>
      </c>
      <c r="L48" s="16" t="str">
        <f>IFERROR(__xludf.DUMMYFUNCTION("""COMPUTED_VALUE"""),"Gelato")</f>
        <v>Gelato</v>
      </c>
      <c r="M48" s="14"/>
      <c r="N48" s="17" t="str">
        <f>IFERROR(__xludf.DUMMYFUNCTION("""COMPUTED_VALUE"""),"Grizzly Bears")</f>
        <v>Grizzly Bears</v>
      </c>
      <c r="O48" s="17" t="str">
        <f>IFERROR(__xludf.DUMMYFUNCTION("""COMPUTED_VALUE"""),"at")</f>
        <v>at</v>
      </c>
      <c r="P48" s="17" t="str">
        <f>IFERROR(__xludf.DUMMYFUNCTION("""COMPUTED_VALUE"""),"Cannoli")</f>
        <v>Cannoli</v>
      </c>
      <c r="Q48" s="4"/>
    </row>
    <row r="49">
      <c r="A49" s="4"/>
      <c r="B49" s="14"/>
      <c r="C49" s="14"/>
      <c r="D49" s="14"/>
      <c r="E49" s="14"/>
      <c r="F49" s="14"/>
      <c r="G49" s="14"/>
      <c r="H49" s="14"/>
      <c r="I49" s="15"/>
      <c r="J49" s="16" t="str">
        <f>IFERROR(__xludf.DUMMYFUNCTION("""COMPUTED_VALUE"""),"Hydras")</f>
        <v>Hydras</v>
      </c>
      <c r="K49" s="16" t="str">
        <f>IFERROR(__xludf.DUMMYFUNCTION("""COMPUTED_VALUE"""),"at")</f>
        <v>at</v>
      </c>
      <c r="L49" s="16" t="str">
        <f>IFERROR(__xludf.DUMMYFUNCTION("""COMPUTED_VALUE"""),"Afterburners")</f>
        <v>Afterburners</v>
      </c>
      <c r="M49" s="14"/>
      <c r="N49" s="17" t="str">
        <f>IFERROR(__xludf.DUMMYFUNCTION("""COMPUTED_VALUE"""),"Lycans")</f>
        <v>Lycans</v>
      </c>
      <c r="O49" s="17" t="str">
        <f>IFERROR(__xludf.DUMMYFUNCTION("""COMPUTED_VALUE"""),"at")</f>
        <v>at</v>
      </c>
      <c r="P49" s="17" t="str">
        <f>IFERROR(__xludf.DUMMYFUNCTION("""COMPUTED_VALUE"""),"Dogfight")</f>
        <v>Dogfight</v>
      </c>
      <c r="Q49" s="4"/>
    </row>
    <row r="50">
      <c r="A50" s="4"/>
      <c r="B50" s="14"/>
      <c r="C50" s="14"/>
      <c r="D50" s="14"/>
      <c r="E50" s="14"/>
      <c r="F50" s="14"/>
      <c r="G50" s="14"/>
      <c r="H50" s="14"/>
      <c r="I50" s="15"/>
      <c r="J50" s="16" t="str">
        <f>IFERROR(__xludf.DUMMYFUNCTION("""COMPUTED_VALUE"""),"Hellhounds")</f>
        <v>Hellhounds</v>
      </c>
      <c r="K50" s="16" t="str">
        <f>IFERROR(__xludf.DUMMYFUNCTION("""COMPUTED_VALUE"""),"at")</f>
        <v>at</v>
      </c>
      <c r="L50" s="16" t="str">
        <f>IFERROR(__xludf.DUMMYFUNCTION("""COMPUTED_VALUE"""),"Despair")</f>
        <v>Despair</v>
      </c>
      <c r="M50" s="14"/>
      <c r="N50" s="17" t="str">
        <f>IFERROR(__xludf.DUMMYFUNCTION("""COMPUTED_VALUE"""),"Shadow Tails")</f>
        <v>Shadow Tails</v>
      </c>
      <c r="O50" s="17" t="str">
        <f>IFERROR(__xludf.DUMMYFUNCTION("""COMPUTED_VALUE"""),"at")</f>
        <v>at</v>
      </c>
      <c r="P50" s="17" t="str">
        <f>IFERROR(__xludf.DUMMYFUNCTION("""COMPUTED_VALUE"""),"Dread")</f>
        <v>Dread</v>
      </c>
      <c r="Q50" s="4"/>
    </row>
    <row r="51">
      <c r="A51" s="4"/>
      <c r="B51" s="14"/>
      <c r="C51" s="14"/>
      <c r="D51" s="14"/>
      <c r="E51" s="14"/>
      <c r="F51" s="14"/>
      <c r="G51" s="14"/>
      <c r="H51" s="14"/>
      <c r="I51" s="15"/>
      <c r="J51" s="16" t="str">
        <f>IFERROR(__xludf.DUMMYFUNCTION("""COMPUTED_VALUE"""),"Great Whites")</f>
        <v>Great Whites</v>
      </c>
      <c r="K51" s="16" t="str">
        <f>IFERROR(__xludf.DUMMYFUNCTION("""COMPUTED_VALUE"""),"at")</f>
        <v>at</v>
      </c>
      <c r="L51" s="16" t="str">
        <f>IFERROR(__xludf.DUMMYFUNCTION("""COMPUTED_VALUE"""),"Dik-diks")</f>
        <v>Dik-diks</v>
      </c>
      <c r="M51" s="14"/>
      <c r="N51" s="17" t="str">
        <f>IFERROR(__xludf.DUMMYFUNCTION("""COMPUTED_VALUE"""),"Makos")</f>
        <v>Makos</v>
      </c>
      <c r="O51" s="17" t="str">
        <f>IFERROR(__xludf.DUMMYFUNCTION("""COMPUTED_VALUE"""),"at")</f>
        <v>at</v>
      </c>
      <c r="P51" s="17" t="str">
        <f>IFERROR(__xludf.DUMMYFUNCTION("""COMPUTED_VALUE"""),"Giraffes")</f>
        <v>Giraffes</v>
      </c>
      <c r="Q51" s="4"/>
    </row>
    <row r="52">
      <c r="A52" s="4"/>
      <c r="B52" s="14"/>
      <c r="C52" s="14"/>
      <c r="D52" s="14"/>
      <c r="E52" s="14"/>
      <c r="F52" s="14"/>
      <c r="G52" s="14"/>
      <c r="H52" s="14"/>
      <c r="I52" s="15"/>
      <c r="J52" s="16" t="str">
        <f>IFERROR(__xludf.DUMMYFUNCTION("""COMPUTED_VALUE"""),"Orochi")</f>
        <v>Orochi</v>
      </c>
      <c r="K52" s="16" t="str">
        <f>IFERROR(__xludf.DUMMYFUNCTION("""COMPUTED_VALUE"""),"at")</f>
        <v>at</v>
      </c>
      <c r="L52" s="16" t="str">
        <f>IFERROR(__xludf.DUMMYFUNCTION("""COMPUTED_VALUE"""),"Krakens")</f>
        <v>Krakens</v>
      </c>
      <c r="M52" s="14"/>
      <c r="N52" s="17" t="str">
        <f>IFERROR(__xludf.DUMMYFUNCTION("""COMPUTED_VALUE"""),"Kirin")</f>
        <v>Kirin</v>
      </c>
      <c r="O52" s="17" t="str">
        <f>IFERROR(__xludf.DUMMYFUNCTION("""COMPUTED_VALUE"""),"at")</f>
        <v>at</v>
      </c>
      <c r="P52" s="17" t="str">
        <f>IFERROR(__xludf.DUMMYFUNCTION("""COMPUTED_VALUE"""),"Giant Squids")</f>
        <v>Giant Squids</v>
      </c>
      <c r="Q52" s="4"/>
    </row>
    <row r="53">
      <c r="A53" s="4"/>
      <c r="B53" s="14"/>
      <c r="C53" s="14"/>
      <c r="D53" s="14"/>
      <c r="E53" s="14"/>
      <c r="F53" s="14"/>
      <c r="G53" s="14"/>
      <c r="H53" s="14"/>
      <c r="I53" s="15"/>
      <c r="J53" s="16" t="str">
        <f>IFERROR(__xludf.DUMMYFUNCTION("""COMPUTED_VALUE"""),"Fire")</f>
        <v>Fire</v>
      </c>
      <c r="K53" s="16" t="str">
        <f>IFERROR(__xludf.DUMMYFUNCTION("""COMPUTED_VALUE"""),"at")</f>
        <v>at</v>
      </c>
      <c r="L53" s="16" t="str">
        <f>IFERROR(__xludf.DUMMYFUNCTION("""COMPUTED_VALUE"""),"Forest Cobra")</f>
        <v>Forest Cobra</v>
      </c>
      <c r="M53" s="14"/>
      <c r="N53" s="17" t="str">
        <f>IFERROR(__xludf.DUMMYFUNCTION("""COMPUTED_VALUE"""),"Water")</f>
        <v>Water</v>
      </c>
      <c r="O53" s="17" t="str">
        <f>IFERROR(__xludf.DUMMYFUNCTION("""COMPUTED_VALUE"""),"at")</f>
        <v>at</v>
      </c>
      <c r="P53" s="17" t="str">
        <f>IFERROR(__xludf.DUMMYFUNCTION("""COMPUTED_VALUE"""),"Fer-de-Lance")</f>
        <v>Fer-de-Lance</v>
      </c>
      <c r="Q53" s="4"/>
    </row>
    <row r="54">
      <c r="A54" s="4"/>
      <c r="B54" s="14"/>
      <c r="C54" s="14"/>
      <c r="D54" s="14"/>
      <c r="E54" s="14"/>
      <c r="F54" s="14"/>
      <c r="G54" s="14"/>
      <c r="H54" s="14"/>
      <c r="I54" s="15"/>
      <c r="J54" s="16" t="str">
        <f>IFERROR(__xludf.DUMMYFUNCTION("""COMPUTED_VALUE"""),"Pixel Picassos")</f>
        <v>Pixel Picassos</v>
      </c>
      <c r="K54" s="16" t="str">
        <f>IFERROR(__xludf.DUMMYFUNCTION("""COMPUTED_VALUE"""),"at")</f>
        <v>at</v>
      </c>
      <c r="L54" s="16" t="str">
        <f>IFERROR(__xludf.DUMMYFUNCTION("""COMPUTED_VALUE"""),"Commanders")</f>
        <v>Commanders</v>
      </c>
      <c r="M54" s="14"/>
      <c r="N54" s="17" t="str">
        <f>IFERROR(__xludf.DUMMYFUNCTION("""COMPUTED_VALUE"""),"Mosaic Maestros")</f>
        <v>Mosaic Maestros</v>
      </c>
      <c r="O54" s="17" t="str">
        <f>IFERROR(__xludf.DUMMYFUNCTION("""COMPUTED_VALUE"""),"at")</f>
        <v>at</v>
      </c>
      <c r="P54" s="17" t="str">
        <f>IFERROR(__xludf.DUMMYFUNCTION("""COMPUTED_VALUE"""),"Mages")</f>
        <v>Mages</v>
      </c>
      <c r="Q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>
      <c r="A56" s="1"/>
      <c r="B56" s="2" t="str">
        <f>IFERROR(__xludf.DUMMYFUNCTION("""COMPUTED_VALUE"""),"Away")</f>
        <v>Away</v>
      </c>
      <c r="C56" s="2" t="str">
        <f>IFERROR(__xludf.DUMMYFUNCTION("""COMPUTED_VALUE"""),"Team Names")</f>
        <v>Team Names</v>
      </c>
      <c r="D56" s="2" t="str">
        <f>IFERROR(__xludf.DUMMYFUNCTION("""COMPUTED_VALUE"""),"Home")</f>
        <v>Home</v>
      </c>
      <c r="E56" s="4"/>
      <c r="F56" s="2" t="str">
        <f>IFERROR(__xludf.DUMMYFUNCTION("""COMPUTED_VALUE"""),"Away")</f>
        <v>Away</v>
      </c>
      <c r="G56" s="3" t="str">
        <f>IFERROR(__xludf.DUMMYFUNCTION("""COMPUTED_VALUE"""),"Team Names")</f>
        <v>Team Names</v>
      </c>
      <c r="H56" s="2" t="str">
        <f>IFERROR(__xludf.DUMMYFUNCTION("""COMPUTED_VALUE"""),"Home")</f>
        <v>Home</v>
      </c>
      <c r="I56" s="1"/>
      <c r="J56" s="2" t="str">
        <f>IFERROR(__xludf.DUMMYFUNCTION("""COMPUTED_VALUE"""),"Away")</f>
        <v>Away</v>
      </c>
      <c r="K56" s="3" t="str">
        <f>IFERROR(__xludf.DUMMYFUNCTION("""COMPUTED_VALUE"""),"Team Names")</f>
        <v>Team Names</v>
      </c>
      <c r="L56" s="2" t="str">
        <f>IFERROR(__xludf.DUMMYFUNCTION("""COMPUTED_VALUE"""),"Home")</f>
        <v>Home</v>
      </c>
      <c r="M56" s="1"/>
      <c r="N56" s="5" t="str">
        <f>IFERROR(__xludf.DUMMYFUNCTION("""COMPUTED_VALUE"""),"Away")</f>
        <v>Away</v>
      </c>
      <c r="O56" s="5" t="str">
        <f>IFERROR(__xludf.DUMMYFUNCTION("""COMPUTED_VALUE"""),"Team Names")</f>
        <v>Team Names</v>
      </c>
      <c r="P56" s="5" t="str">
        <f>IFERROR(__xludf.DUMMYFUNCTION("""COMPUTED_VALUE"""),"Home")</f>
        <v>Home</v>
      </c>
      <c r="Q56" s="1"/>
    </row>
    <row r="57">
      <c r="A57" s="1"/>
      <c r="B57" s="2" t="str">
        <f>IFERROR(__xludf.DUMMYFUNCTION("""COMPUTED_VALUE"""),"Rival")</f>
        <v>Rival</v>
      </c>
      <c r="E57" s="4"/>
      <c r="F57" s="2" t="str">
        <f>IFERROR(__xludf.DUMMYFUNCTION("""COMPUTED_VALUE"""),"Challenger")</f>
        <v>Challenger</v>
      </c>
      <c r="I57" s="1"/>
      <c r="J57" s="2" t="str">
        <f>IFERROR(__xludf.DUMMYFUNCTION("""COMPUTED_VALUE"""),"Prospect")</f>
        <v>Prospect</v>
      </c>
      <c r="M57" s="1"/>
      <c r="N57" s="5" t="str">
        <f>IFERROR(__xludf.DUMMYFUNCTION("""COMPUTED_VALUE"""),"Amateur")</f>
        <v>Amateur</v>
      </c>
      <c r="Q57" s="1"/>
    </row>
    <row r="58">
      <c r="A58" s="4"/>
      <c r="B58" s="5" t="str">
        <f>IFERROR(__xludf.DUMMYFUNCTION("""COMPUTED_VALUE"""),"Preseason Match Day #1")</f>
        <v>Preseason Match Day #1</v>
      </c>
      <c r="E58" s="4"/>
      <c r="F58" s="5" t="str">
        <f>IFERROR(__xludf.DUMMYFUNCTION("""COMPUTED_VALUE"""),"Preseason Match Day #1")</f>
        <v>Preseason Match Day #1</v>
      </c>
      <c r="I58" s="4"/>
      <c r="J58" s="5" t="str">
        <f>IFERROR(__xludf.DUMMYFUNCTION("""COMPUTED_VALUE"""),"Preseason Match Day #1")</f>
        <v>Preseason Match Day #1</v>
      </c>
      <c r="M58" s="4"/>
      <c r="N58" s="5" t="str">
        <f>IFERROR(__xludf.DUMMYFUNCTION("""COMPUTED_VALUE"""),"Preseason Match Day #1")</f>
        <v>Preseason Match Day #1</v>
      </c>
      <c r="Q58" s="4"/>
    </row>
    <row r="59">
      <c r="A59" s="4"/>
      <c r="B59" s="31" t="str">
        <f>IFERROR(__xludf.DUMMYFUNCTION("""COMPUTED_VALUE"""),"Ocelots")</f>
        <v>Ocelots</v>
      </c>
      <c r="C59" s="31" t="str">
        <f>IFERROR(__xludf.DUMMYFUNCTION("""COMPUTED_VALUE"""),"at")</f>
        <v>at</v>
      </c>
      <c r="D59" s="31" t="str">
        <f>IFERROR(__xludf.DUMMYFUNCTION("""COMPUTED_VALUE"""),"Phoenix")</f>
        <v>Phoenix</v>
      </c>
      <c r="E59" s="8"/>
      <c r="F59" s="32" t="str">
        <f>IFERROR(__xludf.DUMMYFUNCTION("""COMPUTED_VALUE"""),"Toucans")</f>
        <v>Toucans</v>
      </c>
      <c r="G59" s="32" t="str">
        <f>IFERROR(__xludf.DUMMYFUNCTION("""COMPUTED_VALUE"""),"at")</f>
        <v>at</v>
      </c>
      <c r="H59" s="32" t="str">
        <f>IFERROR(__xludf.DUMMYFUNCTION("""COMPUTED_VALUE"""),"Manticore")</f>
        <v>Manticore</v>
      </c>
      <c r="I59" s="8"/>
      <c r="J59" s="33" t="str">
        <f>IFERROR(__xludf.DUMMYFUNCTION("""COMPUTED_VALUE"""),"Blacktips")</f>
        <v>Blacktips</v>
      </c>
      <c r="K59" s="34" t="str">
        <f>IFERROR(__xludf.DUMMYFUNCTION("""COMPUTED_VALUE"""),"at")</f>
        <v>at</v>
      </c>
      <c r="L59" s="33" t="str">
        <f>IFERROR(__xludf.DUMMYFUNCTION("""COMPUTED_VALUE"""),"Griffin")</f>
        <v>Griffin</v>
      </c>
      <c r="M59" s="8"/>
      <c r="N59" s="35" t="str">
        <f>IFERROR(__xludf.DUMMYFUNCTION("""COMPUTED_VALUE"""),"Electric Eels")</f>
        <v>Electric Eels</v>
      </c>
      <c r="O59" s="36" t="str">
        <f>IFERROR(__xludf.DUMMYFUNCTION("""COMPUTED_VALUE"""),"at")</f>
        <v>at</v>
      </c>
      <c r="P59" s="35" t="str">
        <f>IFERROR(__xludf.DUMMYFUNCTION("""COMPUTED_VALUE"""),"Winter Fresh")</f>
        <v>Winter Fresh</v>
      </c>
      <c r="Q59" s="4"/>
    </row>
    <row r="60">
      <c r="A60" s="4"/>
      <c r="B60" s="37" t="str">
        <f>IFERROR(__xludf.DUMMYFUNCTION("""COMPUTED_VALUE"""),"Polar Ice")</f>
        <v>Polar Ice</v>
      </c>
      <c r="C60" s="37" t="str">
        <f>IFERROR(__xludf.DUMMYFUNCTION("""COMPUTED_VALUE"""),"at")</f>
        <v>at</v>
      </c>
      <c r="D60" s="37" t="str">
        <f>IFERROR(__xludf.DUMMYFUNCTION("""COMPUTED_VALUE"""),"Black Ice")</f>
        <v>Black Ice</v>
      </c>
      <c r="E60" s="14"/>
      <c r="F60" s="38" t="str">
        <f>IFERROR(__xludf.DUMMYFUNCTION("""COMPUTED_VALUE"""),"Spearmint")</f>
        <v>Spearmint</v>
      </c>
      <c r="G60" s="38" t="str">
        <f>IFERROR(__xludf.DUMMYFUNCTION("""COMPUTED_VALUE"""),"at")</f>
        <v>at</v>
      </c>
      <c r="H60" s="38" t="str">
        <f>IFERROR(__xludf.DUMMYFUNCTION("""COMPUTED_VALUE"""),"Glaciers")</f>
        <v>Glaciers</v>
      </c>
      <c r="I60" s="8"/>
      <c r="J60" s="34" t="str">
        <f>IFERROR(__xludf.DUMMYFUNCTION("""COMPUTED_VALUE"""),"Tic Tacs")</f>
        <v>Tic Tacs</v>
      </c>
      <c r="K60" s="34" t="str">
        <f>IFERROR(__xludf.DUMMYFUNCTION("""COMPUTED_VALUE"""),"at")</f>
        <v>at</v>
      </c>
      <c r="L60" s="33" t="str">
        <f>IFERROR(__xludf.DUMMYFUNCTION("""COMPUTED_VALUE"""),"Tanuki")</f>
        <v>Tanuki</v>
      </c>
      <c r="M60" s="8"/>
      <c r="N60" s="35" t="str">
        <f>IFERROR(__xludf.DUMMYFUNCTION("""COMPUTED_VALUE"""),"HR Violation")</f>
        <v>HR Violation</v>
      </c>
      <c r="O60" s="36" t="str">
        <f>IFERROR(__xludf.DUMMYFUNCTION("""COMPUTED_VALUE"""),"at")</f>
        <v>at</v>
      </c>
      <c r="P60" s="35" t="str">
        <f>IFERROR(__xludf.DUMMYFUNCTION("""COMPUTED_VALUE"""),"Bombers")</f>
        <v>Bombers</v>
      </c>
      <c r="Q60" s="4"/>
    </row>
    <row r="61">
      <c r="A61" s="4"/>
      <c r="B61" s="37" t="str">
        <f>IFERROR(__xludf.DUMMYFUNCTION("""COMPUTED_VALUE"""),"Howlers")</f>
        <v>Howlers</v>
      </c>
      <c r="C61" s="37" t="str">
        <f>IFERROR(__xludf.DUMMYFUNCTION("""COMPUTED_VALUE"""),"at")</f>
        <v>at</v>
      </c>
      <c r="D61" s="37" t="str">
        <f>IFERROR(__xludf.DUMMYFUNCTION("""COMPUTED_VALUE"""),"Lacuna")</f>
        <v>Lacuna</v>
      </c>
      <c r="E61" s="14"/>
      <c r="F61" s="38" t="str">
        <f>IFERROR(__xludf.DUMMYFUNCTION("""COMPUTED_VALUE"""),"Olympic Knights")</f>
        <v>Olympic Knights</v>
      </c>
      <c r="G61" s="38" t="str">
        <f>IFERROR(__xludf.DUMMYFUNCTION("""COMPUTED_VALUE"""),"at")</f>
        <v>at</v>
      </c>
      <c r="H61" s="38" t="str">
        <f>IFERROR(__xludf.DUMMYFUNCTION("""COMPUTED_VALUE"""),"Void")</f>
        <v>Void</v>
      </c>
      <c r="I61" s="8"/>
      <c r="J61" s="33" t="str">
        <f>IFERROR(__xludf.DUMMYFUNCTION("""COMPUTED_VALUE"""),"Earth")</f>
        <v>Earth</v>
      </c>
      <c r="K61" s="34" t="str">
        <f>IFERROR(__xludf.DUMMYFUNCTION("""COMPUTED_VALUE"""),"at")</f>
        <v>at</v>
      </c>
      <c r="L61" s="33" t="str">
        <f>IFERROR(__xludf.DUMMYFUNCTION("""COMPUTED_VALUE"""),"Principales")</f>
        <v>Principales</v>
      </c>
      <c r="M61" s="8"/>
      <c r="N61" s="35" t="str">
        <f>IFERROR(__xludf.DUMMYFUNCTION("""COMPUTED_VALUE"""),"Chimera")</f>
        <v>Chimera</v>
      </c>
      <c r="O61" s="36" t="str">
        <f>IFERROR(__xludf.DUMMYFUNCTION("""COMPUTED_VALUE"""),"at")</f>
        <v>at</v>
      </c>
      <c r="P61" s="35" t="str">
        <f>IFERROR(__xludf.DUMMYFUNCTION("""COMPUTED_VALUE"""),"Garlic Knots")</f>
        <v>Garlic Knots</v>
      </c>
      <c r="Q61" s="4"/>
    </row>
    <row r="62">
      <c r="A62" s="4"/>
      <c r="B62" s="37" t="str">
        <f>IFERROR(__xludf.DUMMYFUNCTION("""COMPUTED_VALUE"""),"Liars")</f>
        <v>Liars</v>
      </c>
      <c r="C62" s="37" t="str">
        <f>IFERROR(__xludf.DUMMYFUNCTION("""COMPUTED_VALUE"""),"at")</f>
        <v>at</v>
      </c>
      <c r="D62" s="37" t="str">
        <f>IFERROR(__xludf.DUMMYFUNCTION("""COMPUTED_VALUE"""),"Primo")</f>
        <v>Primo</v>
      </c>
      <c r="E62" s="14"/>
      <c r="F62" s="38" t="str">
        <f>IFERROR(__xludf.DUMMYFUNCTION("""COMPUTED_VALUE"""),"Cooks")</f>
        <v>Cooks</v>
      </c>
      <c r="G62" s="38" t="str">
        <f>IFERROR(__xludf.DUMMYFUNCTION("""COMPUTED_VALUE"""),"at")</f>
        <v>at</v>
      </c>
      <c r="H62" s="38" t="str">
        <f>IFERROR(__xludf.DUMMYFUNCTION("""COMPUTED_VALUE"""),"Porch Pirates")</f>
        <v>Porch Pirates</v>
      </c>
      <c r="I62" s="8"/>
      <c r="J62" s="33" t="str">
        <f>IFERROR(__xludf.DUMMYFUNCTION("""COMPUTED_VALUE"""),"Hostile Takeover")</f>
        <v>Hostile Takeover</v>
      </c>
      <c r="K62" s="34" t="str">
        <f>IFERROR(__xludf.DUMMYFUNCTION("""COMPUTED_VALUE"""),"at")</f>
        <v>at</v>
      </c>
      <c r="L62" s="33" t="str">
        <f>IFERROR(__xludf.DUMMYFUNCTION("""COMPUTED_VALUE"""),"Hawaiian Pizza")</f>
        <v>Hawaiian Pizza</v>
      </c>
      <c r="M62" s="8"/>
      <c r="N62" s="35" t="str">
        <f>IFERROR(__xludf.DUMMYFUNCTION("""COMPUTED_VALUE"""),"Kappa")</f>
        <v>Kappa</v>
      </c>
      <c r="O62" s="36" t="str">
        <f>IFERROR(__xludf.DUMMYFUNCTION("""COMPUTED_VALUE"""),"at")</f>
        <v>at</v>
      </c>
      <c r="P62" s="35" t="str">
        <f>IFERROR(__xludf.DUMMYFUNCTION("""COMPUTED_VALUE"""),"Legionaries")</f>
        <v>Legionaries</v>
      </c>
      <c r="Q62" s="4"/>
    </row>
    <row r="63">
      <c r="A63" s="4"/>
      <c r="B63" s="37" t="str">
        <f>IFERROR(__xludf.DUMMYFUNCTION("""COMPUTED_VALUE"""),"Hammerheads")</f>
        <v>Hammerheads</v>
      </c>
      <c r="C63" s="37" t="str">
        <f>IFERROR(__xludf.DUMMYFUNCTION("""COMPUTED_VALUE"""),"at")</f>
        <v>at</v>
      </c>
      <c r="D63" s="37" t="str">
        <f>IFERROR(__xludf.DUMMYFUNCTION("""COMPUTED_VALUE"""),"Kitsune")</f>
        <v>Kitsune</v>
      </c>
      <c r="E63" s="14"/>
      <c r="F63" s="38" t="str">
        <f>IFERROR(__xludf.DUMMYFUNCTION("""COMPUTED_VALUE"""),"Threshers")</f>
        <v>Threshers</v>
      </c>
      <c r="G63" s="38" t="str">
        <f>IFERROR(__xludf.DUMMYFUNCTION("""COMPUTED_VALUE"""),"at")</f>
        <v>at</v>
      </c>
      <c r="H63" s="38" t="str">
        <f>IFERROR(__xludf.DUMMYFUNCTION("""COMPUTED_VALUE"""),"Ryujin")</f>
        <v>Ryujin</v>
      </c>
      <c r="I63" s="8"/>
      <c r="J63" s="34" t="str">
        <f>IFERROR(__xludf.DUMMYFUNCTION("""COMPUTED_VALUE"""),"Piranhas")</f>
        <v>Piranhas</v>
      </c>
      <c r="K63" s="34" t="str">
        <f>IFERROR(__xludf.DUMMYFUNCTION("""COMPUTED_VALUE"""),"at")</f>
        <v>at</v>
      </c>
      <c r="L63" s="33" t="str">
        <f>IFERROR(__xludf.DUMMYFUNCTION("""COMPUTED_VALUE"""),"Skeletons")</f>
        <v>Skeletons</v>
      </c>
      <c r="M63" s="8"/>
      <c r="N63" s="18" t="str">
        <f>IFERROR(__xludf.DUMMYFUNCTION("""COMPUTED_VALUE"""),"Preseason Match Day #2")</f>
        <v>Preseason Match Day #2</v>
      </c>
      <c r="O63" s="19"/>
      <c r="P63" s="19"/>
      <c r="Q63" s="4"/>
    </row>
    <row r="64">
      <c r="A64" s="4"/>
      <c r="B64" s="37" t="str">
        <f>IFERROR(__xludf.DUMMYFUNCTION("""COMPUTED_VALUE"""),"Hue Heroes")</f>
        <v>Hue Heroes</v>
      </c>
      <c r="C64" s="37" t="str">
        <f>IFERROR(__xludf.DUMMYFUNCTION("""COMPUTED_VALUE"""),"at")</f>
        <v>at</v>
      </c>
      <c r="D64" s="37" t="str">
        <f>IFERROR(__xludf.DUMMYFUNCTION("""COMPUTED_VALUE"""),"Wind")</f>
        <v>Wind</v>
      </c>
      <c r="E64" s="14"/>
      <c r="F64" s="38" t="str">
        <f>IFERROR(__xludf.DUMMYFUNCTION("""COMPUTED_VALUE"""),"Chromatic Chaos")</f>
        <v>Chromatic Chaos</v>
      </c>
      <c r="G64" s="38" t="str">
        <f>IFERROR(__xludf.DUMMYFUNCTION("""COMPUTED_VALUE"""),"at")</f>
        <v>at</v>
      </c>
      <c r="H64" s="38" t="str">
        <f>IFERROR(__xludf.DUMMYFUNCTION("""COMPUTED_VALUE"""),"Metal")</f>
        <v>Metal</v>
      </c>
      <c r="I64" s="8"/>
      <c r="J64" s="39" t="str">
        <f>IFERROR(__xludf.DUMMYFUNCTION("""COMPUTED_VALUE"""),"Turbulence")</f>
        <v>Turbulence</v>
      </c>
      <c r="K64" s="40" t="str">
        <f>IFERROR(__xludf.DUMMYFUNCTION("""COMPUTED_VALUE"""),"at")</f>
        <v>at</v>
      </c>
      <c r="L64" s="39" t="str">
        <f>IFERROR(__xludf.DUMMYFUNCTION("""COMPUTED_VALUE"""),"Honey Badgers")</f>
        <v>Honey Badgers</v>
      </c>
      <c r="M64" s="4"/>
      <c r="N64" s="35" t="str">
        <f>IFERROR(__xludf.DUMMYFUNCTION("""COMPUTED_VALUE"""),"Bombers")</f>
        <v>Bombers</v>
      </c>
      <c r="O64" s="35" t="str">
        <f>IFERROR(__xludf.DUMMYFUNCTION("""COMPUTED_VALUE"""),"at")</f>
        <v>at</v>
      </c>
      <c r="P64" s="35" t="str">
        <f>IFERROR(__xludf.DUMMYFUNCTION("""COMPUTED_VALUE"""),"Kappa")</f>
        <v>Kappa</v>
      </c>
      <c r="Q64" s="4"/>
    </row>
    <row r="65">
      <c r="A65" s="4"/>
      <c r="B65" s="37" t="str">
        <f>IFERROR(__xludf.DUMMYFUNCTION("""COMPUTED_VALUE"""),"Centuriones")</f>
        <v>Centuriones</v>
      </c>
      <c r="C65" s="37" t="str">
        <f>IFERROR(__xludf.DUMMYFUNCTION("""COMPUTED_VALUE"""),"at")</f>
        <v>at</v>
      </c>
      <c r="D65" s="37" t="str">
        <f>IFERROR(__xludf.DUMMYFUNCTION("""COMPUTED_VALUE"""),"Polar Bears")</f>
        <v>Polar Bears</v>
      </c>
      <c r="E65" s="14"/>
      <c r="F65" s="38" t="str">
        <f>IFERROR(__xludf.DUMMYFUNCTION("""COMPUTED_VALUE"""),"Decuriones")</f>
        <v>Decuriones</v>
      </c>
      <c r="G65" s="38" t="str">
        <f>IFERROR(__xludf.DUMMYFUNCTION("""COMPUTED_VALUE"""),"at")</f>
        <v>at</v>
      </c>
      <c r="H65" s="38" t="str">
        <f>IFERROR(__xludf.DUMMYFUNCTION("""COMPUTED_VALUE"""),"Panda Bears")</f>
        <v>Panda Bears</v>
      </c>
      <c r="I65" s="4"/>
      <c r="J65" s="22" t="str">
        <f>IFERROR(__xludf.DUMMYFUNCTION("""COMPUTED_VALUE"""),"Preseason Match Day #2")</f>
        <v>Preseason Match Day #2</v>
      </c>
      <c r="K65" s="19"/>
      <c r="L65" s="19"/>
      <c r="M65" s="4"/>
      <c r="N65" s="35" t="str">
        <f>IFERROR(__xludf.DUMMYFUNCTION("""COMPUTED_VALUE"""),"Winter Fresh")</f>
        <v>Winter Fresh</v>
      </c>
      <c r="O65" s="36" t="str">
        <f>IFERROR(__xludf.DUMMYFUNCTION("""COMPUTED_VALUE"""),"at")</f>
        <v>at</v>
      </c>
      <c r="P65" s="35" t="str">
        <f>IFERROR(__xludf.DUMMYFUNCTION("""COMPUTED_VALUE"""),"Chimera")</f>
        <v>Chimera</v>
      </c>
      <c r="Q65" s="4"/>
    </row>
    <row r="66">
      <c r="A66" s="4"/>
      <c r="B66" s="37" t="str">
        <f>IFERROR(__xludf.DUMMYFUNCTION("""COMPUTED_VALUE"""),"Purrgatory")</f>
        <v>Purrgatory</v>
      </c>
      <c r="C66" s="37" t="str">
        <f>IFERROR(__xludf.DUMMYFUNCTION("""COMPUTED_VALUE"""),"at")</f>
        <v>at</v>
      </c>
      <c r="D66" s="37" t="str">
        <f>IFERROR(__xludf.DUMMYFUNCTION("""COMPUTED_VALUE"""),"Dracos")</f>
        <v>Dracos</v>
      </c>
      <c r="E66" s="14"/>
      <c r="F66" s="38" t="str">
        <f>IFERROR(__xludf.DUMMYFUNCTION("""COMPUTED_VALUE"""),"Thunder Pups")</f>
        <v>Thunder Pups</v>
      </c>
      <c r="G66" s="38" t="str">
        <f>IFERROR(__xludf.DUMMYFUNCTION("""COMPUTED_VALUE"""),"at")</f>
        <v>at</v>
      </c>
      <c r="H66" s="38" t="str">
        <f>IFERROR(__xludf.DUMMYFUNCTION("""COMPUTED_VALUE"""),"Sirens")</f>
        <v>Sirens</v>
      </c>
      <c r="I66" s="4"/>
      <c r="J66" s="33" t="str">
        <f>IFERROR(__xludf.DUMMYFUNCTION("""COMPUTED_VALUE"""),"Hawaiian Pizza")</f>
        <v>Hawaiian Pizza</v>
      </c>
      <c r="K66" s="34" t="str">
        <f>IFERROR(__xludf.DUMMYFUNCTION("""COMPUTED_VALUE"""),"at")</f>
        <v>at</v>
      </c>
      <c r="L66" s="33" t="str">
        <f>IFERROR(__xludf.DUMMYFUNCTION("""COMPUTED_VALUE"""),"Blacktips")</f>
        <v>Blacktips</v>
      </c>
      <c r="M66" s="4"/>
      <c r="N66" s="35" t="str">
        <f>IFERROR(__xludf.DUMMYFUNCTION("""COMPUTED_VALUE"""),"Legionaries")</f>
        <v>Legionaries</v>
      </c>
      <c r="O66" s="36" t="str">
        <f>IFERROR(__xludf.DUMMYFUNCTION("""COMPUTED_VALUE"""),"at")</f>
        <v>at</v>
      </c>
      <c r="P66" s="35" t="str">
        <f>IFERROR(__xludf.DUMMYFUNCTION("""COMPUTED_VALUE"""),"HR Violation")</f>
        <v>HR Violation</v>
      </c>
      <c r="Q66" s="4"/>
    </row>
    <row r="67">
      <c r="A67" s="4"/>
      <c r="B67" s="37" t="str">
        <f>IFERROR(__xludf.DUMMYFUNCTION("""COMPUTED_VALUE"""),"Tax Evaders")</f>
        <v>Tax Evaders</v>
      </c>
      <c r="C67" s="37" t="str">
        <f>IFERROR(__xludf.DUMMYFUNCTION("""COMPUTED_VALUE"""),"at")</f>
        <v>at</v>
      </c>
      <c r="D67" s="37" t="str">
        <f>IFERROR(__xludf.DUMMYFUNCTION("""COMPUTED_VALUE"""),"Asiago Arsonists")</f>
        <v>Asiago Arsonists</v>
      </c>
      <c r="E67" s="14"/>
      <c r="F67" s="38" t="str">
        <f>IFERROR(__xludf.DUMMYFUNCTION("""COMPUTED_VALUE"""),"Insider Traders")</f>
        <v>Insider Traders</v>
      </c>
      <c r="G67" s="38" t="str">
        <f>IFERROR(__xludf.DUMMYFUNCTION("""COMPUTED_VALUE"""),"at")</f>
        <v>at</v>
      </c>
      <c r="H67" s="38" t="str">
        <f>IFERROR(__xludf.DUMMYFUNCTION("""COMPUTED_VALUE"""),"Havarti Hustlers")</f>
        <v>Havarti Hustlers</v>
      </c>
      <c r="I67" s="4"/>
      <c r="J67" s="33" t="str">
        <f>IFERROR(__xludf.DUMMYFUNCTION("""COMPUTED_VALUE"""),"Skeletons")</f>
        <v>Skeletons</v>
      </c>
      <c r="K67" s="34" t="str">
        <f>IFERROR(__xludf.DUMMYFUNCTION("""COMPUTED_VALUE"""),"at")</f>
        <v>at</v>
      </c>
      <c r="L67" s="33" t="str">
        <f>IFERROR(__xludf.DUMMYFUNCTION("""COMPUTED_VALUE"""),"Tanuki")</f>
        <v>Tanuki</v>
      </c>
      <c r="M67" s="4"/>
      <c r="N67" s="35" t="str">
        <f>IFERROR(__xludf.DUMMYFUNCTION("""COMPUTED_VALUE"""),"Garlic Knots")</f>
        <v>Garlic Knots</v>
      </c>
      <c r="O67" s="36" t="str">
        <f>IFERROR(__xludf.DUMMYFUNCTION("""COMPUTED_VALUE"""),"at")</f>
        <v>at</v>
      </c>
      <c r="P67" s="35" t="str">
        <f>IFERROR(__xludf.DUMMYFUNCTION("""COMPUTED_VALUE"""),"Electric Eels")</f>
        <v>Electric Eels</v>
      </c>
      <c r="Q67" s="4"/>
    </row>
    <row r="68">
      <c r="A68" s="4"/>
      <c r="B68" s="37" t="str">
        <f>IFERROR(__xludf.DUMMYFUNCTION("""COMPUTED_VALUE"""),"Lightning")</f>
        <v>Lightning</v>
      </c>
      <c r="C68" s="37" t="str">
        <f>IFERROR(__xludf.DUMMYFUNCTION("""COMPUTED_VALUE"""),"at")</f>
        <v>at</v>
      </c>
      <c r="D68" s="37" t="str">
        <f>IFERROR(__xludf.DUMMYFUNCTION("""COMPUTED_VALUE"""),"Ruthless Racket")</f>
        <v>Ruthless Racket</v>
      </c>
      <c r="E68" s="14"/>
      <c r="F68" s="38" t="str">
        <f>IFERROR(__xludf.DUMMYFUNCTION("""COMPUTED_VALUE"""),"Warthogs")</f>
        <v>Warthogs</v>
      </c>
      <c r="G68" s="38" t="str">
        <f>IFERROR(__xludf.DUMMYFUNCTION("""COMPUTED_VALUE"""),"at")</f>
        <v>at</v>
      </c>
      <c r="H68" s="38" t="str">
        <f>IFERROR(__xludf.DUMMYFUNCTION("""COMPUTED_VALUE"""),"Apple Associates")</f>
        <v>Apple Associates</v>
      </c>
      <c r="I68" s="8"/>
      <c r="J68" s="34" t="str">
        <f>IFERROR(__xludf.DUMMYFUNCTION("""COMPUTED_VALUE"""),"Piranhas")</f>
        <v>Piranhas</v>
      </c>
      <c r="K68" s="34" t="str">
        <f>IFERROR(__xludf.DUMMYFUNCTION("""COMPUTED_VALUE"""),"at")</f>
        <v>at</v>
      </c>
      <c r="L68" s="33" t="str">
        <f>IFERROR(__xludf.DUMMYFUNCTION("""COMPUTED_VALUE"""),"Earth")</f>
        <v>Earth</v>
      </c>
      <c r="M68" s="4"/>
      <c r="N68" s="18" t="str">
        <f>IFERROR(__xludf.DUMMYFUNCTION("""COMPUTED_VALUE"""),"Preseason Match Day #3")</f>
        <v>Preseason Match Day #3</v>
      </c>
      <c r="O68" s="19"/>
      <c r="P68" s="19"/>
      <c r="Q68" s="4"/>
    </row>
    <row r="69">
      <c r="A69" s="4"/>
      <c r="B69" s="37" t="str">
        <f>IFERROR(__xludf.DUMMYFUNCTION("""COMPUTED_VALUE"""),"Mining Legion")</f>
        <v>Mining Legion</v>
      </c>
      <c r="C69" s="37" t="str">
        <f>IFERROR(__xludf.DUMMYFUNCTION("""COMPUTED_VALUE"""),"at")</f>
        <v>at</v>
      </c>
      <c r="D69" s="37" t="str">
        <f>IFERROR(__xludf.DUMMYFUNCTION("""COMPUTED_VALUE"""),"Heavy Metal")</f>
        <v>Heavy Metal</v>
      </c>
      <c r="E69" s="14"/>
      <c r="F69" s="38" t="str">
        <f>IFERROR(__xludf.DUMMYFUNCTION("""COMPUTED_VALUE"""),"Gold Hoarders")</f>
        <v>Gold Hoarders</v>
      </c>
      <c r="G69" s="38" t="str">
        <f>IFERROR(__xludf.DUMMYFUNCTION("""COMPUTED_VALUE"""),"at")</f>
        <v>at</v>
      </c>
      <c r="H69" s="38" t="str">
        <f>IFERROR(__xludf.DUMMYFUNCTION("""COMPUTED_VALUE"""),"Glams")</f>
        <v>Glams</v>
      </c>
      <c r="I69" s="8"/>
      <c r="J69" s="33" t="str">
        <f>IFERROR(__xludf.DUMMYFUNCTION("""COMPUTED_VALUE"""),"Principales")</f>
        <v>Principales</v>
      </c>
      <c r="K69" s="34" t="str">
        <f>IFERROR(__xludf.DUMMYFUNCTION("""COMPUTED_VALUE"""),"at")</f>
        <v>at</v>
      </c>
      <c r="L69" s="33" t="str">
        <f>IFERROR(__xludf.DUMMYFUNCTION("""COMPUTED_VALUE"""),"Turbulence")</f>
        <v>Turbulence</v>
      </c>
      <c r="M69" s="4"/>
      <c r="N69" s="36" t="str">
        <f>IFERROR(__xludf.DUMMYFUNCTION("""COMPUTED_VALUE"""),"Kappa")</f>
        <v>Kappa</v>
      </c>
      <c r="O69" s="36" t="str">
        <f>IFERROR(__xludf.DUMMYFUNCTION("""COMPUTED_VALUE"""),"at")</f>
        <v>at</v>
      </c>
      <c r="P69" s="35" t="str">
        <f>IFERROR(__xludf.DUMMYFUNCTION("""COMPUTED_VALUE"""),"Electric Eels")</f>
        <v>Electric Eels</v>
      </c>
      <c r="Q69" s="4"/>
    </row>
    <row r="70">
      <c r="A70" s="4"/>
      <c r="B70" s="37" t="str">
        <f>IFERROR(__xludf.DUMMYFUNCTION("""COMPUTED_VALUE"""),"Samurai")</f>
        <v>Samurai</v>
      </c>
      <c r="C70" s="37" t="str">
        <f>IFERROR(__xludf.DUMMYFUNCTION("""COMPUTED_VALUE"""),"at")</f>
        <v>at</v>
      </c>
      <c r="D70" s="37" t="str">
        <f>IFERROR(__xludf.DUMMYFUNCTION("""COMPUTED_VALUE"""),"Quasars")</f>
        <v>Quasars</v>
      </c>
      <c r="E70" s="14"/>
      <c r="F70" s="38" t="str">
        <f>IFERROR(__xludf.DUMMYFUNCTION("""COMPUTED_VALUE"""),"Jinyiwei")</f>
        <v>Jinyiwei</v>
      </c>
      <c r="G70" s="38" t="str">
        <f>IFERROR(__xludf.DUMMYFUNCTION("""COMPUTED_VALUE"""),"at")</f>
        <v>at</v>
      </c>
      <c r="H70" s="38" t="str">
        <f>IFERROR(__xludf.DUMMYFUNCTION("""COMPUTED_VALUE"""),"Blitzars")</f>
        <v>Blitzars</v>
      </c>
      <c r="I70" s="8"/>
      <c r="J70" s="33" t="str">
        <f>IFERROR(__xludf.DUMMYFUNCTION("""COMPUTED_VALUE"""),"Griffin")</f>
        <v>Griffin</v>
      </c>
      <c r="K70" s="34" t="str">
        <f>IFERROR(__xludf.DUMMYFUNCTION("""COMPUTED_VALUE"""),"at")</f>
        <v>at</v>
      </c>
      <c r="L70" s="33" t="str">
        <f>IFERROR(__xludf.DUMMYFUNCTION("""COMPUTED_VALUE"""),"Hostile Takeover")</f>
        <v>Hostile Takeover</v>
      </c>
      <c r="M70" s="4"/>
      <c r="N70" s="35" t="str">
        <f>IFERROR(__xludf.DUMMYFUNCTION("""COMPUTED_VALUE"""),"Chimera")</f>
        <v>Chimera</v>
      </c>
      <c r="O70" s="35" t="str">
        <f>IFERROR(__xludf.DUMMYFUNCTION("""COMPUTED_VALUE"""),"at")</f>
        <v>at</v>
      </c>
      <c r="P70" s="35" t="str">
        <f>IFERROR(__xludf.DUMMYFUNCTION("""COMPUTED_VALUE"""),"HR Violation")</f>
        <v>HR Violation</v>
      </c>
      <c r="Q70" s="4"/>
    </row>
    <row r="71">
      <c r="A71" s="4"/>
      <c r="B71" s="37" t="str">
        <f>IFERROR(__xludf.DUMMYFUNCTION("""COMPUTED_VALUE"""),"Hot Wings")</f>
        <v>Hot Wings</v>
      </c>
      <c r="C71" s="37" t="str">
        <f>IFERROR(__xludf.DUMMYFUNCTION("""COMPUTED_VALUE"""),"at")</f>
        <v>at</v>
      </c>
      <c r="D71" s="37" t="str">
        <f>IFERROR(__xludf.DUMMYFUNCTION("""COMPUTED_VALUE"""),"Phantoms")</f>
        <v>Phantoms</v>
      </c>
      <c r="E71" s="14"/>
      <c r="F71" s="38" t="str">
        <f>IFERROR(__xludf.DUMMYFUNCTION("""COMPUTED_VALUE"""),"Meat Lovers")</f>
        <v>Meat Lovers</v>
      </c>
      <c r="G71" s="38" t="str">
        <f>IFERROR(__xludf.DUMMYFUNCTION("""COMPUTED_VALUE"""),"at")</f>
        <v>at</v>
      </c>
      <c r="H71" s="38" t="str">
        <f>IFERROR(__xludf.DUMMYFUNCTION("""COMPUTED_VALUE"""),"Zombies")</f>
        <v>Zombies</v>
      </c>
      <c r="I71" s="8"/>
      <c r="J71" s="40" t="str">
        <f>IFERROR(__xludf.DUMMYFUNCTION("""COMPUTED_VALUE"""),"Tic Tacs")</f>
        <v>Tic Tacs</v>
      </c>
      <c r="K71" s="40" t="str">
        <f>IFERROR(__xludf.DUMMYFUNCTION("""COMPUTED_VALUE"""),"at")</f>
        <v>at</v>
      </c>
      <c r="L71" s="39" t="str">
        <f>IFERROR(__xludf.DUMMYFUNCTION("""COMPUTED_VALUE"""),"Honey Badgers")</f>
        <v>Honey Badgers</v>
      </c>
      <c r="M71" s="4"/>
      <c r="N71" s="35" t="str">
        <f>IFERROR(__xludf.DUMMYFUNCTION("""COMPUTED_VALUE"""),"Bombers")</f>
        <v>Bombers</v>
      </c>
      <c r="O71" s="36" t="str">
        <f>IFERROR(__xludf.DUMMYFUNCTION("""COMPUTED_VALUE"""),"at")</f>
        <v>at</v>
      </c>
      <c r="P71" s="35" t="str">
        <f>IFERROR(__xludf.DUMMYFUNCTION("""COMPUTED_VALUE"""),"Winter Fresh")</f>
        <v>Winter Fresh</v>
      </c>
      <c r="Q71" s="4"/>
    </row>
    <row r="72">
      <c r="A72" s="4"/>
      <c r="B72" s="37" t="str">
        <f>IFERROR(__xludf.DUMMYFUNCTION("""COMPUTED_VALUE"""),"Nightfall")</f>
        <v>Nightfall</v>
      </c>
      <c r="C72" s="37" t="str">
        <f>IFERROR(__xludf.DUMMYFUNCTION("""COMPUTED_VALUE"""),"at")</f>
        <v>at</v>
      </c>
      <c r="D72" s="37" t="str">
        <f>IFERROR(__xludf.DUMMYFUNCTION("""COMPUTED_VALUE"""),"Scramjets")</f>
        <v>Scramjets</v>
      </c>
      <c r="E72" s="14"/>
      <c r="F72" s="38" t="str">
        <f>IFERROR(__xludf.DUMMYFUNCTION("""COMPUTED_VALUE"""),"Shade")</f>
        <v>Shade</v>
      </c>
      <c r="G72" s="38" t="str">
        <f>IFERROR(__xludf.DUMMYFUNCTION("""COMPUTED_VALUE"""),"at")</f>
        <v>at</v>
      </c>
      <c r="H72" s="38" t="str">
        <f>IFERROR(__xludf.DUMMYFUNCTION("""COMPUTED_VALUE"""),"Warbirds")</f>
        <v>Warbirds</v>
      </c>
      <c r="I72" s="4"/>
      <c r="J72" s="22" t="str">
        <f>IFERROR(__xludf.DUMMYFUNCTION("""COMPUTED_VALUE"""),"Preseason Match Day #3")</f>
        <v>Preseason Match Day #3</v>
      </c>
      <c r="K72" s="19"/>
      <c r="L72" s="19"/>
      <c r="M72" s="4"/>
      <c r="N72" s="41" t="str">
        <f>IFERROR(__xludf.DUMMYFUNCTION("""COMPUTED_VALUE"""),"Legionaries")</f>
        <v>Legionaries</v>
      </c>
      <c r="O72" s="42" t="str">
        <f>IFERROR(__xludf.DUMMYFUNCTION("""COMPUTED_VALUE"""),"at")</f>
        <v>at</v>
      </c>
      <c r="P72" s="42" t="str">
        <f>IFERROR(__xludf.DUMMYFUNCTION("""COMPUTED_VALUE"""),"Garlic Knots")</f>
        <v>Garlic Knots</v>
      </c>
      <c r="Q72" s="4"/>
    </row>
    <row r="73">
      <c r="A73" s="4"/>
      <c r="B73" s="37" t="str">
        <f>IFERROR(__xludf.DUMMYFUNCTION("""COMPUTED_VALUE"""),"Barracudas")</f>
        <v>Barracudas</v>
      </c>
      <c r="C73" s="37" t="str">
        <f>IFERROR(__xludf.DUMMYFUNCTION("""COMPUTED_VALUE"""),"at")</f>
        <v>at</v>
      </c>
      <c r="D73" s="37" t="str">
        <f>IFERROR(__xludf.DUMMYFUNCTION("""COMPUTED_VALUE"""),"Hippos")</f>
        <v>Hippos</v>
      </c>
      <c r="E73" s="14"/>
      <c r="F73" s="38" t="str">
        <f>IFERROR(__xludf.DUMMYFUNCTION("""COMPUTED_VALUE"""),"Stingrays")</f>
        <v>Stingrays</v>
      </c>
      <c r="G73" s="38" t="str">
        <f>IFERROR(__xludf.DUMMYFUNCTION("""COMPUTED_VALUE"""),"at")</f>
        <v>at</v>
      </c>
      <c r="H73" s="38" t="str">
        <f>IFERROR(__xludf.DUMMYFUNCTION("""COMPUTED_VALUE"""),"Happy B-day Jess")</f>
        <v>Happy B-day Jess</v>
      </c>
      <c r="I73" s="4"/>
      <c r="J73" s="33" t="str">
        <f>IFERROR(__xludf.DUMMYFUNCTION("""COMPUTED_VALUE"""),"Tanuki")</f>
        <v>Tanuki</v>
      </c>
      <c r="K73" s="34" t="str">
        <f>IFERROR(__xludf.DUMMYFUNCTION("""COMPUTED_VALUE"""),"at")</f>
        <v>at</v>
      </c>
      <c r="L73" s="33" t="str">
        <f>IFERROR(__xludf.DUMMYFUNCTION("""COMPUTED_VALUE"""),"Earth")</f>
        <v>Earth</v>
      </c>
      <c r="M73" s="4"/>
      <c r="N73" s="28"/>
      <c r="O73" s="29"/>
      <c r="P73" s="28"/>
      <c r="Q73" s="4"/>
    </row>
    <row r="74">
      <c r="A74" s="4"/>
      <c r="B74" s="37" t="str">
        <f>IFERROR(__xludf.DUMMYFUNCTION("""COMPUTED_VALUE"""),"Guards")</f>
        <v>Guards</v>
      </c>
      <c r="C74" s="37" t="str">
        <f>IFERROR(__xludf.DUMMYFUNCTION("""COMPUTED_VALUE"""),"at")</f>
        <v>at</v>
      </c>
      <c r="D74" s="37" t="str">
        <f>IFERROR(__xludf.DUMMYFUNCTION("""COMPUTED_VALUE"""),"Gaboons")</f>
        <v>Gaboons</v>
      </c>
      <c r="E74" s="14"/>
      <c r="F74" s="38" t="str">
        <f>IFERROR(__xludf.DUMMYFUNCTION("""COMPUTED_VALUE"""),"Scribes")</f>
        <v>Scribes</v>
      </c>
      <c r="G74" s="38" t="str">
        <f>IFERROR(__xludf.DUMMYFUNCTION("""COMPUTED_VALUE"""),"at")</f>
        <v>at</v>
      </c>
      <c r="H74" s="38" t="str">
        <f>IFERROR(__xludf.DUMMYFUNCTION("""COMPUTED_VALUE"""),"Corals")</f>
        <v>Corals</v>
      </c>
      <c r="I74" s="8"/>
      <c r="J74" s="33" t="str">
        <f>IFERROR(__xludf.DUMMYFUNCTION("""COMPUTED_VALUE"""),"Griffin")</f>
        <v>Griffin</v>
      </c>
      <c r="K74" s="34" t="str">
        <f>IFERROR(__xludf.DUMMYFUNCTION("""COMPUTED_VALUE"""),"at")</f>
        <v>at</v>
      </c>
      <c r="L74" s="34" t="str">
        <f>IFERROR(__xludf.DUMMYFUNCTION("""COMPUTED_VALUE"""),"Tic Tacs")</f>
        <v>Tic Tacs</v>
      </c>
      <c r="M74" s="4"/>
      <c r="N74" s="28"/>
      <c r="O74" s="29"/>
      <c r="P74" s="28"/>
      <c r="Q74" s="4"/>
    </row>
    <row r="75">
      <c r="A75" s="4"/>
      <c r="B75" s="26" t="str">
        <f>IFERROR(__xludf.DUMMYFUNCTION("""COMPUTED_VALUE"""),"Preseason Match Day #2")</f>
        <v>Preseason Match Day #2</v>
      </c>
      <c r="C75" s="27"/>
      <c r="D75" s="27"/>
      <c r="E75" s="14"/>
      <c r="F75" s="26" t="str">
        <f>IFERROR(__xludf.DUMMYFUNCTION("""COMPUTED_VALUE"""),"Preseason Match Day #2")</f>
        <v>Preseason Match Day #2</v>
      </c>
      <c r="G75" s="27"/>
      <c r="H75" s="27"/>
      <c r="I75" s="4"/>
      <c r="J75" s="33" t="str">
        <f>IFERROR(__xludf.DUMMYFUNCTION("""COMPUTED_VALUE"""),"Blacktips")</f>
        <v>Blacktips</v>
      </c>
      <c r="K75" s="34" t="str">
        <f>IFERROR(__xludf.DUMMYFUNCTION("""COMPUTED_VALUE"""),"at")</f>
        <v>at</v>
      </c>
      <c r="L75" s="33" t="str">
        <f>IFERROR(__xludf.DUMMYFUNCTION("""COMPUTED_VALUE"""),"Principales")</f>
        <v>Principales</v>
      </c>
      <c r="M75" s="4"/>
      <c r="N75" s="28"/>
      <c r="O75" s="29"/>
      <c r="P75" s="28"/>
      <c r="Q75" s="4"/>
    </row>
    <row r="76">
      <c r="A76" s="4"/>
      <c r="B76" s="37" t="str">
        <f>IFERROR(__xludf.DUMMYFUNCTION("""COMPUTED_VALUE"""),"Phoenix")</f>
        <v>Phoenix</v>
      </c>
      <c r="C76" s="37" t="str">
        <f>IFERROR(__xludf.DUMMYFUNCTION("""COMPUTED_VALUE"""),"at")</f>
        <v>at</v>
      </c>
      <c r="D76" s="37" t="str">
        <f>IFERROR(__xludf.DUMMYFUNCTION("""COMPUTED_VALUE"""),"Purrgatory")</f>
        <v>Purrgatory</v>
      </c>
      <c r="E76" s="14"/>
      <c r="F76" s="38" t="str">
        <f>IFERROR(__xludf.DUMMYFUNCTION("""COMPUTED_VALUE"""),"Manticore")</f>
        <v>Manticore</v>
      </c>
      <c r="G76" s="38" t="str">
        <f>IFERROR(__xludf.DUMMYFUNCTION("""COMPUTED_VALUE"""),"at")</f>
        <v>at</v>
      </c>
      <c r="H76" s="38" t="str">
        <f>IFERROR(__xludf.DUMMYFUNCTION("""COMPUTED_VALUE"""),"Thunder Pups")</f>
        <v>Thunder Pups</v>
      </c>
      <c r="I76" s="4"/>
      <c r="J76" s="33" t="str">
        <f>IFERROR(__xludf.DUMMYFUNCTION("""COMPUTED_VALUE"""),"Skeletons")</f>
        <v>Skeletons</v>
      </c>
      <c r="K76" s="33" t="str">
        <f>IFERROR(__xludf.DUMMYFUNCTION("""COMPUTED_VALUE"""),"at")</f>
        <v>at</v>
      </c>
      <c r="L76" s="33" t="str">
        <f>IFERROR(__xludf.DUMMYFUNCTION("""COMPUTED_VALUE"""),"Turbulence")</f>
        <v>Turbulence</v>
      </c>
      <c r="M76" s="4"/>
      <c r="N76" s="29"/>
      <c r="O76" s="29"/>
      <c r="P76" s="29"/>
      <c r="Q76" s="4"/>
    </row>
    <row r="77">
      <c r="A77" s="4"/>
      <c r="B77" s="37" t="str">
        <f>IFERROR(__xludf.DUMMYFUNCTION("""COMPUTED_VALUE"""),"Polar Bears")</f>
        <v>Polar Bears</v>
      </c>
      <c r="C77" s="37" t="str">
        <f>IFERROR(__xludf.DUMMYFUNCTION("""COMPUTED_VALUE"""),"at")</f>
        <v>at</v>
      </c>
      <c r="D77" s="37" t="str">
        <f>IFERROR(__xludf.DUMMYFUNCTION("""COMPUTED_VALUE"""),"Polar Ice")</f>
        <v>Polar Ice</v>
      </c>
      <c r="E77" s="14"/>
      <c r="F77" s="38" t="str">
        <f>IFERROR(__xludf.DUMMYFUNCTION("""COMPUTED_VALUE"""),"Panda Bears")</f>
        <v>Panda Bears</v>
      </c>
      <c r="G77" s="38" t="str">
        <f>IFERROR(__xludf.DUMMYFUNCTION("""COMPUTED_VALUE"""),"at")</f>
        <v>at</v>
      </c>
      <c r="H77" s="38" t="str">
        <f>IFERROR(__xludf.DUMMYFUNCTION("""COMPUTED_VALUE"""),"Spearmint")</f>
        <v>Spearmint</v>
      </c>
      <c r="I77" s="8"/>
      <c r="J77" s="33" t="str">
        <f>IFERROR(__xludf.DUMMYFUNCTION("""COMPUTED_VALUE"""),"Hostile Takeover")</f>
        <v>Hostile Takeover</v>
      </c>
      <c r="K77" s="34" t="str">
        <f>IFERROR(__xludf.DUMMYFUNCTION("""COMPUTED_VALUE"""),"at")</f>
        <v>at</v>
      </c>
      <c r="L77" s="34" t="str">
        <f>IFERROR(__xludf.DUMMYFUNCTION("""COMPUTED_VALUE"""),"Piranhas")</f>
        <v>Piranhas</v>
      </c>
      <c r="M77" s="4"/>
      <c r="N77" s="29"/>
      <c r="O77" s="29"/>
      <c r="P77" s="29"/>
      <c r="Q77" s="4"/>
    </row>
    <row r="78">
      <c r="A78" s="4"/>
      <c r="B78" s="37" t="str">
        <f>IFERROR(__xludf.DUMMYFUNCTION("""COMPUTED_VALUE"""),"Dracos")</f>
        <v>Dracos</v>
      </c>
      <c r="C78" s="37" t="str">
        <f>IFERROR(__xludf.DUMMYFUNCTION("""COMPUTED_VALUE"""),"at")</f>
        <v>at</v>
      </c>
      <c r="D78" s="37" t="str">
        <f>IFERROR(__xludf.DUMMYFUNCTION("""COMPUTED_VALUE"""),"Ocelots")</f>
        <v>Ocelots</v>
      </c>
      <c r="E78" s="14"/>
      <c r="F78" s="38" t="str">
        <f>IFERROR(__xludf.DUMMYFUNCTION("""COMPUTED_VALUE"""),"Sirens")</f>
        <v>Sirens</v>
      </c>
      <c r="G78" s="38" t="str">
        <f>IFERROR(__xludf.DUMMYFUNCTION("""COMPUTED_VALUE"""),"at")</f>
        <v>at</v>
      </c>
      <c r="H78" s="38" t="str">
        <f>IFERROR(__xludf.DUMMYFUNCTION("""COMPUTED_VALUE"""),"Toucans")</f>
        <v>Toucans</v>
      </c>
      <c r="I78" s="8"/>
      <c r="J78" s="39" t="str">
        <f>IFERROR(__xludf.DUMMYFUNCTION("""COMPUTED_VALUE"""),"Honey Badgers")</f>
        <v>Honey Badgers</v>
      </c>
      <c r="K78" s="40" t="str">
        <f>IFERROR(__xludf.DUMMYFUNCTION("""COMPUTED_VALUE"""),"at")</f>
        <v>at</v>
      </c>
      <c r="L78" s="39" t="str">
        <f>IFERROR(__xludf.DUMMYFUNCTION("""COMPUTED_VALUE"""),"Hawaiian Pizza")</f>
        <v>Hawaiian Pizza</v>
      </c>
      <c r="M78" s="4"/>
      <c r="N78" s="29"/>
      <c r="O78" s="29"/>
      <c r="P78" s="29"/>
      <c r="Q78" s="4"/>
    </row>
    <row r="79">
      <c r="A79" s="4"/>
      <c r="B79" s="37" t="str">
        <f>IFERROR(__xludf.DUMMYFUNCTION("""COMPUTED_VALUE"""),"Black Ice")</f>
        <v>Black Ice</v>
      </c>
      <c r="C79" s="37" t="str">
        <f>IFERROR(__xludf.DUMMYFUNCTION("""COMPUTED_VALUE"""),"at")</f>
        <v>at</v>
      </c>
      <c r="D79" s="37" t="str">
        <f>IFERROR(__xludf.DUMMYFUNCTION("""COMPUTED_VALUE"""),"Centuriones")</f>
        <v>Centuriones</v>
      </c>
      <c r="E79" s="14"/>
      <c r="F79" s="38" t="str">
        <f>IFERROR(__xludf.DUMMYFUNCTION("""COMPUTED_VALUE"""),"Glaciers")</f>
        <v>Glaciers</v>
      </c>
      <c r="G79" s="38" t="str">
        <f>IFERROR(__xludf.DUMMYFUNCTION("""COMPUTED_VALUE"""),"at")</f>
        <v>at</v>
      </c>
      <c r="H79" s="38" t="str">
        <f>IFERROR(__xludf.DUMMYFUNCTION("""COMPUTED_VALUE"""),"Decuriones")</f>
        <v>Decuriones</v>
      </c>
      <c r="I79" s="8"/>
      <c r="J79" s="29"/>
      <c r="K79" s="29"/>
      <c r="L79" s="29"/>
      <c r="M79" s="4"/>
      <c r="N79" s="8"/>
      <c r="O79" s="8"/>
      <c r="P79" s="8"/>
      <c r="Q79" s="4"/>
    </row>
    <row r="80">
      <c r="A80" s="4"/>
      <c r="B80" s="37" t="str">
        <f>IFERROR(__xludf.DUMMYFUNCTION("""COMPUTED_VALUE"""),"Wind")</f>
        <v>Wind</v>
      </c>
      <c r="C80" s="37" t="str">
        <f>IFERROR(__xludf.DUMMYFUNCTION("""COMPUTED_VALUE"""),"at")</f>
        <v>at</v>
      </c>
      <c r="D80" s="37" t="str">
        <f>IFERROR(__xludf.DUMMYFUNCTION("""COMPUTED_VALUE"""),"Howlers")</f>
        <v>Howlers</v>
      </c>
      <c r="E80" s="14"/>
      <c r="F80" s="38" t="str">
        <f>IFERROR(__xludf.DUMMYFUNCTION("""COMPUTED_VALUE"""),"Metal")</f>
        <v>Metal</v>
      </c>
      <c r="G80" s="38" t="str">
        <f>IFERROR(__xludf.DUMMYFUNCTION("""COMPUTED_VALUE"""),"at")</f>
        <v>at</v>
      </c>
      <c r="H80" s="38" t="str">
        <f>IFERROR(__xludf.DUMMYFUNCTION("""COMPUTED_VALUE"""),"Olympic Knights")</f>
        <v>Olympic Knights</v>
      </c>
      <c r="I80" s="8"/>
      <c r="J80" s="29"/>
      <c r="K80" s="29"/>
      <c r="L80" s="29"/>
      <c r="M80" s="4"/>
      <c r="N80" s="8"/>
      <c r="O80" s="8"/>
      <c r="P80" s="8"/>
      <c r="Q80" s="4"/>
    </row>
    <row r="81">
      <c r="A81" s="4"/>
      <c r="B81" s="37" t="str">
        <f>IFERROR(__xludf.DUMMYFUNCTION("""COMPUTED_VALUE"""),"Lacuna")</f>
        <v>Lacuna</v>
      </c>
      <c r="C81" s="37" t="str">
        <f>IFERROR(__xludf.DUMMYFUNCTION("""COMPUTED_VALUE"""),"at")</f>
        <v>at</v>
      </c>
      <c r="D81" s="37" t="str">
        <f>IFERROR(__xludf.DUMMYFUNCTION("""COMPUTED_VALUE"""),"Hue Heroes")</f>
        <v>Hue Heroes</v>
      </c>
      <c r="E81" s="14"/>
      <c r="F81" s="38" t="str">
        <f>IFERROR(__xludf.DUMMYFUNCTION("""COMPUTED_VALUE"""),"Void")</f>
        <v>Void</v>
      </c>
      <c r="G81" s="38" t="str">
        <f>IFERROR(__xludf.DUMMYFUNCTION("""COMPUTED_VALUE"""),"at")</f>
        <v>at</v>
      </c>
      <c r="H81" s="38" t="str">
        <f>IFERROR(__xludf.DUMMYFUNCTION("""COMPUTED_VALUE"""),"Chromatic Chaos")</f>
        <v>Chromatic Chaos</v>
      </c>
      <c r="I81" s="8"/>
      <c r="J81" s="29"/>
      <c r="K81" s="29"/>
      <c r="L81" s="29"/>
      <c r="M81" s="4"/>
      <c r="N81" s="8"/>
      <c r="O81" s="8"/>
      <c r="P81" s="8"/>
      <c r="Q81" s="4"/>
    </row>
    <row r="82">
      <c r="A82" s="4"/>
      <c r="B82" s="37" t="str">
        <f>IFERROR(__xludf.DUMMYFUNCTION("""COMPUTED_VALUE"""),"Primo")</f>
        <v>Primo</v>
      </c>
      <c r="C82" s="37" t="str">
        <f>IFERROR(__xludf.DUMMYFUNCTION("""COMPUTED_VALUE"""),"at")</f>
        <v>at</v>
      </c>
      <c r="D82" s="37" t="str">
        <f>IFERROR(__xludf.DUMMYFUNCTION("""COMPUTED_VALUE"""),"Hammerheads")</f>
        <v>Hammerheads</v>
      </c>
      <c r="E82" s="14"/>
      <c r="F82" s="38" t="str">
        <f>IFERROR(__xludf.DUMMYFUNCTION("""COMPUTED_VALUE"""),"Porch Pirates")</f>
        <v>Porch Pirates</v>
      </c>
      <c r="G82" s="38" t="str">
        <f>IFERROR(__xludf.DUMMYFUNCTION("""COMPUTED_VALUE"""),"at")</f>
        <v>at</v>
      </c>
      <c r="H82" s="38" t="str">
        <f>IFERROR(__xludf.DUMMYFUNCTION("""COMPUTED_VALUE"""),"Threshers")</f>
        <v>Threshers</v>
      </c>
      <c r="I82" s="8"/>
      <c r="J82" s="29"/>
      <c r="K82" s="29"/>
      <c r="L82" s="29"/>
      <c r="M82" s="4"/>
      <c r="N82" s="8"/>
      <c r="O82" s="8"/>
      <c r="P82" s="8"/>
      <c r="Q82" s="4"/>
    </row>
    <row r="83">
      <c r="A83" s="4"/>
      <c r="B83" s="37" t="str">
        <f>IFERROR(__xludf.DUMMYFUNCTION("""COMPUTED_VALUE"""),"Kitsune")</f>
        <v>Kitsune</v>
      </c>
      <c r="C83" s="37" t="str">
        <f>IFERROR(__xludf.DUMMYFUNCTION("""COMPUTED_VALUE"""),"at")</f>
        <v>at</v>
      </c>
      <c r="D83" s="37" t="str">
        <f>IFERROR(__xludf.DUMMYFUNCTION("""COMPUTED_VALUE"""),"Liars")</f>
        <v>Liars</v>
      </c>
      <c r="E83" s="14"/>
      <c r="F83" s="38" t="str">
        <f>IFERROR(__xludf.DUMMYFUNCTION("""COMPUTED_VALUE"""),"Ryujin")</f>
        <v>Ryujin</v>
      </c>
      <c r="G83" s="38" t="str">
        <f>IFERROR(__xludf.DUMMYFUNCTION("""COMPUTED_VALUE"""),"at")</f>
        <v>at</v>
      </c>
      <c r="H83" s="38" t="str">
        <f>IFERROR(__xludf.DUMMYFUNCTION("""COMPUTED_VALUE"""),"Cooks")</f>
        <v>Cooks</v>
      </c>
      <c r="I83" s="8"/>
      <c r="J83" s="29"/>
      <c r="K83" s="29"/>
      <c r="L83" s="29"/>
      <c r="M83" s="4"/>
      <c r="N83" s="8"/>
      <c r="O83" s="8"/>
      <c r="P83" s="8"/>
      <c r="Q83" s="4"/>
    </row>
    <row r="84">
      <c r="A84" s="4"/>
      <c r="B84" s="37" t="str">
        <f>IFERROR(__xludf.DUMMYFUNCTION("""COMPUTED_VALUE"""),"Gaboons")</f>
        <v>Gaboons</v>
      </c>
      <c r="C84" s="37" t="str">
        <f>IFERROR(__xludf.DUMMYFUNCTION("""COMPUTED_VALUE"""),"at")</f>
        <v>at</v>
      </c>
      <c r="D84" s="37" t="str">
        <f>IFERROR(__xludf.DUMMYFUNCTION("""COMPUTED_VALUE"""),"Tax Evaders")</f>
        <v>Tax Evaders</v>
      </c>
      <c r="E84" s="14"/>
      <c r="F84" s="38" t="str">
        <f>IFERROR(__xludf.DUMMYFUNCTION("""COMPUTED_VALUE"""),"Corals")</f>
        <v>Corals</v>
      </c>
      <c r="G84" s="38" t="str">
        <f>IFERROR(__xludf.DUMMYFUNCTION("""COMPUTED_VALUE"""),"at")</f>
        <v>at</v>
      </c>
      <c r="H84" s="38" t="str">
        <f>IFERROR(__xludf.DUMMYFUNCTION("""COMPUTED_VALUE"""),"Insider Traders")</f>
        <v>Insider Traders</v>
      </c>
      <c r="I84" s="4"/>
      <c r="J84" s="29"/>
      <c r="K84" s="29"/>
      <c r="L84" s="29"/>
      <c r="M84" s="4"/>
      <c r="N84" s="8"/>
      <c r="O84" s="8"/>
      <c r="P84" s="8"/>
      <c r="Q84" s="4"/>
    </row>
    <row r="85">
      <c r="A85" s="4"/>
      <c r="B85" s="37" t="str">
        <f>IFERROR(__xludf.DUMMYFUNCTION("""COMPUTED_VALUE"""),"Guards")</f>
        <v>Guards</v>
      </c>
      <c r="C85" s="37" t="str">
        <f>IFERROR(__xludf.DUMMYFUNCTION("""COMPUTED_VALUE"""),"at")</f>
        <v>at</v>
      </c>
      <c r="D85" s="37" t="str">
        <f>IFERROR(__xludf.DUMMYFUNCTION("""COMPUTED_VALUE"""),"Asiago Arsonists")</f>
        <v>Asiago Arsonists</v>
      </c>
      <c r="E85" s="14"/>
      <c r="F85" s="38" t="str">
        <f>IFERROR(__xludf.DUMMYFUNCTION("""COMPUTED_VALUE"""),"Scribes")</f>
        <v>Scribes</v>
      </c>
      <c r="G85" s="38" t="str">
        <f>IFERROR(__xludf.DUMMYFUNCTION("""COMPUTED_VALUE"""),"at")</f>
        <v>at</v>
      </c>
      <c r="H85" s="38" t="str">
        <f>IFERROR(__xludf.DUMMYFUNCTION("""COMPUTED_VALUE"""),"Havarti Hustlers")</f>
        <v>Havarti Hustlers</v>
      </c>
      <c r="I85" s="4"/>
      <c r="J85" s="29"/>
      <c r="K85" s="29"/>
      <c r="L85" s="29"/>
      <c r="M85" s="4"/>
      <c r="N85" s="8"/>
      <c r="O85" s="8"/>
      <c r="P85" s="8"/>
      <c r="Q85" s="4"/>
    </row>
    <row r="86">
      <c r="A86" s="4"/>
      <c r="B86" s="37" t="str">
        <f>IFERROR(__xludf.DUMMYFUNCTION("""COMPUTED_VALUE"""),"Ruthless Racket")</f>
        <v>Ruthless Racket</v>
      </c>
      <c r="C86" s="37" t="str">
        <f>IFERROR(__xludf.DUMMYFUNCTION("""COMPUTED_VALUE"""),"at")</f>
        <v>at</v>
      </c>
      <c r="D86" s="37" t="str">
        <f>IFERROR(__xludf.DUMMYFUNCTION("""COMPUTED_VALUE"""),"Barracudas")</f>
        <v>Barracudas</v>
      </c>
      <c r="E86" s="14"/>
      <c r="F86" s="38" t="str">
        <f>IFERROR(__xludf.DUMMYFUNCTION("""COMPUTED_VALUE"""),"Apple Associates")</f>
        <v>Apple Associates</v>
      </c>
      <c r="G86" s="38" t="str">
        <f>IFERROR(__xludf.DUMMYFUNCTION("""COMPUTED_VALUE"""),"at")</f>
        <v>at</v>
      </c>
      <c r="H86" s="38" t="str">
        <f>IFERROR(__xludf.DUMMYFUNCTION("""COMPUTED_VALUE"""),"Stingrays")</f>
        <v>Stingrays</v>
      </c>
      <c r="I86" s="4"/>
      <c r="J86" s="29"/>
      <c r="K86" s="29"/>
      <c r="L86" s="29"/>
      <c r="M86" s="4"/>
      <c r="N86" s="8"/>
      <c r="O86" s="8"/>
      <c r="P86" s="8"/>
      <c r="Q86" s="4"/>
    </row>
    <row r="87">
      <c r="A87" s="4"/>
      <c r="B87" s="37" t="str">
        <f>IFERROR(__xludf.DUMMYFUNCTION("""COMPUTED_VALUE"""),"Hippos")</f>
        <v>Hippos</v>
      </c>
      <c r="C87" s="37" t="str">
        <f>IFERROR(__xludf.DUMMYFUNCTION("""COMPUTED_VALUE"""),"at")</f>
        <v>at</v>
      </c>
      <c r="D87" s="37" t="str">
        <f>IFERROR(__xludf.DUMMYFUNCTION("""COMPUTED_VALUE"""),"Lightning")</f>
        <v>Lightning</v>
      </c>
      <c r="E87" s="14"/>
      <c r="F87" s="38" t="str">
        <f>IFERROR(__xludf.DUMMYFUNCTION("""COMPUTED_VALUE"""),"Happy B-day Jess")</f>
        <v>Happy B-day Jess</v>
      </c>
      <c r="G87" s="38" t="str">
        <f>IFERROR(__xludf.DUMMYFUNCTION("""COMPUTED_VALUE"""),"at")</f>
        <v>at</v>
      </c>
      <c r="H87" s="38" t="str">
        <f>IFERROR(__xludf.DUMMYFUNCTION("""COMPUTED_VALUE"""),"Warthogs")</f>
        <v>Warthogs</v>
      </c>
      <c r="I87" s="4"/>
      <c r="J87" s="29"/>
      <c r="K87" s="29"/>
      <c r="L87" s="29"/>
      <c r="M87" s="4"/>
      <c r="N87" s="8"/>
      <c r="O87" s="8"/>
      <c r="P87" s="8"/>
      <c r="Q87" s="4"/>
    </row>
    <row r="88">
      <c r="A88" s="4"/>
      <c r="B88" s="37" t="str">
        <f>IFERROR(__xludf.DUMMYFUNCTION("""COMPUTED_VALUE"""),"Scramjets")</f>
        <v>Scramjets</v>
      </c>
      <c r="C88" s="37" t="str">
        <f>IFERROR(__xludf.DUMMYFUNCTION("""COMPUTED_VALUE"""),"at")</f>
        <v>at</v>
      </c>
      <c r="D88" s="37" t="str">
        <f>IFERROR(__xludf.DUMMYFUNCTION("""COMPUTED_VALUE"""),"Mining Legion")</f>
        <v>Mining Legion</v>
      </c>
      <c r="E88" s="14"/>
      <c r="F88" s="38" t="str">
        <f>IFERROR(__xludf.DUMMYFUNCTION("""COMPUTED_VALUE"""),"Warbirds")</f>
        <v>Warbirds</v>
      </c>
      <c r="G88" s="38" t="str">
        <f>IFERROR(__xludf.DUMMYFUNCTION("""COMPUTED_VALUE"""),"at")</f>
        <v>at</v>
      </c>
      <c r="H88" s="38" t="str">
        <f>IFERROR(__xludf.DUMMYFUNCTION("""COMPUTED_VALUE"""),"Gold Hoarders")</f>
        <v>Gold Hoarders</v>
      </c>
      <c r="I88" s="4"/>
      <c r="J88" s="29"/>
      <c r="K88" s="29"/>
      <c r="L88" s="29"/>
      <c r="M88" s="4"/>
      <c r="N88" s="8"/>
      <c r="O88" s="8"/>
      <c r="P88" s="8"/>
      <c r="Q88" s="4"/>
    </row>
    <row r="89">
      <c r="A89" s="4"/>
      <c r="B89" s="37" t="str">
        <f>IFERROR(__xludf.DUMMYFUNCTION("""COMPUTED_VALUE"""),"Heavy Metal")</f>
        <v>Heavy Metal</v>
      </c>
      <c r="C89" s="37" t="str">
        <f>IFERROR(__xludf.DUMMYFUNCTION("""COMPUTED_VALUE"""),"at")</f>
        <v>at</v>
      </c>
      <c r="D89" s="37" t="str">
        <f>IFERROR(__xludf.DUMMYFUNCTION("""COMPUTED_VALUE"""),"Nightfall")</f>
        <v>Nightfall</v>
      </c>
      <c r="E89" s="14"/>
      <c r="F89" s="38" t="str">
        <f>IFERROR(__xludf.DUMMYFUNCTION("""COMPUTED_VALUE"""),"Glams")</f>
        <v>Glams</v>
      </c>
      <c r="G89" s="38" t="str">
        <f>IFERROR(__xludf.DUMMYFUNCTION("""COMPUTED_VALUE"""),"at")</f>
        <v>at</v>
      </c>
      <c r="H89" s="38" t="str">
        <f>IFERROR(__xludf.DUMMYFUNCTION("""COMPUTED_VALUE"""),"Shade")</f>
        <v>Shade</v>
      </c>
      <c r="I89" s="4"/>
      <c r="J89" s="29"/>
      <c r="K89" s="29"/>
      <c r="L89" s="29"/>
      <c r="M89" s="4"/>
      <c r="N89" s="8"/>
      <c r="O89" s="8"/>
      <c r="P89" s="8"/>
      <c r="Q89" s="4"/>
    </row>
    <row r="90">
      <c r="A90" s="4"/>
      <c r="B90" s="37" t="str">
        <f>IFERROR(__xludf.DUMMYFUNCTION("""COMPUTED_VALUE"""),"Quasars")</f>
        <v>Quasars</v>
      </c>
      <c r="C90" s="37" t="str">
        <f>IFERROR(__xludf.DUMMYFUNCTION("""COMPUTED_VALUE"""),"at")</f>
        <v>at</v>
      </c>
      <c r="D90" s="37" t="str">
        <f>IFERROR(__xludf.DUMMYFUNCTION("""COMPUTED_VALUE"""),"Hot Wings")</f>
        <v>Hot Wings</v>
      </c>
      <c r="E90" s="14"/>
      <c r="F90" s="38" t="str">
        <f>IFERROR(__xludf.DUMMYFUNCTION("""COMPUTED_VALUE"""),"Blitzars")</f>
        <v>Blitzars</v>
      </c>
      <c r="G90" s="38" t="str">
        <f>IFERROR(__xludf.DUMMYFUNCTION("""COMPUTED_VALUE"""),"at")</f>
        <v>at</v>
      </c>
      <c r="H90" s="38" t="str">
        <f>IFERROR(__xludf.DUMMYFUNCTION("""COMPUTED_VALUE"""),"Meat Lovers")</f>
        <v>Meat Lovers</v>
      </c>
      <c r="I90" s="4"/>
      <c r="J90" s="43"/>
      <c r="K90" s="43"/>
      <c r="L90" s="43"/>
      <c r="M90" s="4"/>
      <c r="N90" s="8"/>
      <c r="O90" s="8"/>
      <c r="P90" s="8"/>
      <c r="Q90" s="4"/>
    </row>
    <row r="91">
      <c r="A91" s="4"/>
      <c r="B91" s="37" t="str">
        <f>IFERROR(__xludf.DUMMYFUNCTION("""COMPUTED_VALUE"""),"Phantoms")</f>
        <v>Phantoms</v>
      </c>
      <c r="C91" s="37" t="str">
        <f>IFERROR(__xludf.DUMMYFUNCTION("""COMPUTED_VALUE"""),"at")</f>
        <v>at</v>
      </c>
      <c r="D91" s="37" t="str">
        <f>IFERROR(__xludf.DUMMYFUNCTION("""COMPUTED_VALUE"""),"Samurai")</f>
        <v>Samurai</v>
      </c>
      <c r="E91" s="14"/>
      <c r="F91" s="38" t="str">
        <f>IFERROR(__xludf.DUMMYFUNCTION("""COMPUTED_VALUE"""),"Zombies")</f>
        <v>Zombies</v>
      </c>
      <c r="G91" s="38" t="str">
        <f>IFERROR(__xludf.DUMMYFUNCTION("""COMPUTED_VALUE"""),"at")</f>
        <v>at</v>
      </c>
      <c r="H91" s="38" t="str">
        <f>IFERROR(__xludf.DUMMYFUNCTION("""COMPUTED_VALUE"""),"Jinyiwei")</f>
        <v>Jinyiwei</v>
      </c>
      <c r="I91" s="4"/>
      <c r="J91" s="4"/>
      <c r="K91" s="4"/>
      <c r="L91" s="4"/>
      <c r="M91" s="4"/>
      <c r="N91" s="4"/>
      <c r="O91" s="4"/>
      <c r="P91" s="4"/>
      <c r="Q91" s="4"/>
    </row>
    <row r="92">
      <c r="A92" s="4"/>
      <c r="B92" s="30" t="str">
        <f>IFERROR(__xludf.DUMMYFUNCTION("""COMPUTED_VALUE"""),"Preseason Match Day #3")</f>
        <v>Preseason Match Day #3</v>
      </c>
      <c r="C92" s="27"/>
      <c r="D92" s="27"/>
      <c r="E92" s="14"/>
      <c r="F92" s="30" t="str">
        <f>IFERROR(__xludf.DUMMYFUNCTION("""COMPUTED_VALUE"""),"Preseason Match Day #3")</f>
        <v>Preseason Match Day #3</v>
      </c>
      <c r="G92" s="27"/>
      <c r="H92" s="27"/>
      <c r="I92" s="4"/>
      <c r="J92" s="4"/>
      <c r="K92" s="4"/>
      <c r="L92" s="4"/>
      <c r="M92" s="4"/>
      <c r="N92" s="4"/>
      <c r="O92" s="4"/>
      <c r="P92" s="4"/>
      <c r="Q92" s="4"/>
    </row>
    <row r="93">
      <c r="A93" s="4"/>
      <c r="B93" s="37" t="str">
        <f>IFERROR(__xludf.DUMMYFUNCTION("""COMPUTED_VALUE"""),"Lacuna")</f>
        <v>Lacuna</v>
      </c>
      <c r="C93" s="37" t="str">
        <f>IFERROR(__xludf.DUMMYFUNCTION("""COMPUTED_VALUE"""),"at")</f>
        <v>at</v>
      </c>
      <c r="D93" s="37" t="str">
        <f>IFERROR(__xludf.DUMMYFUNCTION("""COMPUTED_VALUE"""),"Tax Evaders")</f>
        <v>Tax Evaders</v>
      </c>
      <c r="E93" s="14"/>
      <c r="F93" s="38" t="str">
        <f>IFERROR(__xludf.DUMMYFUNCTION("""COMPUTED_VALUE"""),"Void")</f>
        <v>Void</v>
      </c>
      <c r="G93" s="38" t="str">
        <f>IFERROR(__xludf.DUMMYFUNCTION("""COMPUTED_VALUE"""),"at")</f>
        <v>at</v>
      </c>
      <c r="H93" s="38" t="str">
        <f>IFERROR(__xludf.DUMMYFUNCTION("""COMPUTED_VALUE"""),"Insider Traders")</f>
        <v>Insider Traders</v>
      </c>
      <c r="I93" s="4"/>
      <c r="J93" s="4"/>
      <c r="K93" s="4"/>
      <c r="L93" s="4"/>
      <c r="M93" s="4"/>
      <c r="N93" s="4"/>
      <c r="O93" s="4"/>
      <c r="P93" s="4"/>
      <c r="Q93" s="4"/>
    </row>
    <row r="94">
      <c r="A94" s="4"/>
      <c r="B94" s="37" t="str">
        <f>IFERROR(__xludf.DUMMYFUNCTION("""COMPUTED_VALUE"""),"Liars")</f>
        <v>Liars</v>
      </c>
      <c r="C94" s="37" t="str">
        <f>IFERROR(__xludf.DUMMYFUNCTION("""COMPUTED_VALUE"""),"at")</f>
        <v>at</v>
      </c>
      <c r="D94" s="37" t="str">
        <f>IFERROR(__xludf.DUMMYFUNCTION("""COMPUTED_VALUE"""),"Lightning")</f>
        <v>Lightning</v>
      </c>
      <c r="E94" s="14"/>
      <c r="F94" s="38" t="str">
        <f>IFERROR(__xludf.DUMMYFUNCTION("""COMPUTED_VALUE"""),"Cooks")</f>
        <v>Cooks</v>
      </c>
      <c r="G94" s="38" t="str">
        <f>IFERROR(__xludf.DUMMYFUNCTION("""COMPUTED_VALUE"""),"at")</f>
        <v>at</v>
      </c>
      <c r="H94" s="38" t="str">
        <f>IFERROR(__xludf.DUMMYFUNCTION("""COMPUTED_VALUE"""),"Warthogs")</f>
        <v>Warthogs</v>
      </c>
      <c r="I94" s="4"/>
      <c r="J94" s="4"/>
      <c r="K94" s="4"/>
      <c r="L94" s="4"/>
      <c r="M94" s="4"/>
      <c r="N94" s="4"/>
      <c r="O94" s="4"/>
      <c r="P94" s="4"/>
      <c r="Q94" s="4"/>
    </row>
    <row r="95">
      <c r="A95" s="4"/>
      <c r="B95" s="37" t="str">
        <f>IFERROR(__xludf.DUMMYFUNCTION("""COMPUTED_VALUE"""),"Asiago Arsonists")</f>
        <v>Asiago Arsonists</v>
      </c>
      <c r="C95" s="37" t="str">
        <f>IFERROR(__xludf.DUMMYFUNCTION("""COMPUTED_VALUE"""),"at")</f>
        <v>at</v>
      </c>
      <c r="D95" s="37" t="str">
        <f>IFERROR(__xludf.DUMMYFUNCTION("""COMPUTED_VALUE"""),"Howlers")</f>
        <v>Howlers</v>
      </c>
      <c r="E95" s="14"/>
      <c r="F95" s="38" t="str">
        <f>IFERROR(__xludf.DUMMYFUNCTION("""COMPUTED_VALUE"""),"Havarti Hustlers")</f>
        <v>Havarti Hustlers</v>
      </c>
      <c r="G95" s="38" t="str">
        <f>IFERROR(__xludf.DUMMYFUNCTION("""COMPUTED_VALUE"""),"at")</f>
        <v>at</v>
      </c>
      <c r="H95" s="38" t="str">
        <f>IFERROR(__xludf.DUMMYFUNCTION("""COMPUTED_VALUE"""),"Olympic Knights")</f>
        <v>Olympic Knights</v>
      </c>
      <c r="I95" s="4"/>
      <c r="J95" s="4"/>
      <c r="K95" s="4"/>
      <c r="L95" s="4"/>
      <c r="M95" s="4"/>
      <c r="N95" s="4"/>
      <c r="O95" s="4"/>
      <c r="P95" s="4"/>
      <c r="Q95" s="4"/>
    </row>
    <row r="96">
      <c r="A96" s="4"/>
      <c r="B96" s="37" t="str">
        <f>IFERROR(__xludf.DUMMYFUNCTION("""COMPUTED_VALUE"""),"Primo")</f>
        <v>Primo</v>
      </c>
      <c r="C96" s="37" t="str">
        <f>IFERROR(__xludf.DUMMYFUNCTION("""COMPUTED_VALUE"""),"at")</f>
        <v>at</v>
      </c>
      <c r="D96" s="37" t="str">
        <f>IFERROR(__xludf.DUMMYFUNCTION("""COMPUTED_VALUE"""),"Ruthless Racket")</f>
        <v>Ruthless Racket</v>
      </c>
      <c r="E96" s="14"/>
      <c r="F96" s="38" t="str">
        <f>IFERROR(__xludf.DUMMYFUNCTION("""COMPUTED_VALUE"""),"Porch Pirates")</f>
        <v>Porch Pirates</v>
      </c>
      <c r="G96" s="38" t="str">
        <f>IFERROR(__xludf.DUMMYFUNCTION("""COMPUTED_VALUE"""),"at")</f>
        <v>at</v>
      </c>
      <c r="H96" s="38" t="str">
        <f>IFERROR(__xludf.DUMMYFUNCTION("""COMPUTED_VALUE"""),"Apple Associates")</f>
        <v>Apple Associates</v>
      </c>
      <c r="I96" s="4"/>
      <c r="J96" s="4"/>
      <c r="K96" s="4"/>
      <c r="L96" s="4"/>
      <c r="M96" s="4"/>
      <c r="N96" s="4"/>
      <c r="O96" s="4"/>
      <c r="P96" s="4"/>
      <c r="Q96" s="4"/>
    </row>
    <row r="97">
      <c r="A97" s="4"/>
      <c r="B97" s="37" t="str">
        <f>IFERROR(__xludf.DUMMYFUNCTION("""COMPUTED_VALUE"""),"Ocelots")</f>
        <v>Ocelots</v>
      </c>
      <c r="C97" s="37" t="str">
        <f>IFERROR(__xludf.DUMMYFUNCTION("""COMPUTED_VALUE"""),"at")</f>
        <v>at</v>
      </c>
      <c r="D97" s="37" t="str">
        <f>IFERROR(__xludf.DUMMYFUNCTION("""COMPUTED_VALUE"""),"Heavy Metal")</f>
        <v>Heavy Metal</v>
      </c>
      <c r="E97" s="14"/>
      <c r="F97" s="38" t="str">
        <f>IFERROR(__xludf.DUMMYFUNCTION("""COMPUTED_VALUE"""),"Toucans")</f>
        <v>Toucans</v>
      </c>
      <c r="G97" s="38" t="str">
        <f>IFERROR(__xludf.DUMMYFUNCTION("""COMPUTED_VALUE"""),"at")</f>
        <v>at</v>
      </c>
      <c r="H97" s="38" t="str">
        <f>IFERROR(__xludf.DUMMYFUNCTION("""COMPUTED_VALUE"""),"Glams")</f>
        <v>Glams</v>
      </c>
      <c r="I97" s="4"/>
      <c r="J97" s="4"/>
      <c r="K97" s="4"/>
      <c r="L97" s="4"/>
      <c r="M97" s="4"/>
      <c r="N97" s="4"/>
      <c r="O97" s="4"/>
      <c r="P97" s="4"/>
      <c r="Q97" s="4"/>
    </row>
    <row r="98">
      <c r="A98" s="4"/>
      <c r="B98" s="37" t="str">
        <f>IFERROR(__xludf.DUMMYFUNCTION("""COMPUTED_VALUE"""),"Phoenix")</f>
        <v>Phoenix</v>
      </c>
      <c r="C98" s="37" t="str">
        <f>IFERROR(__xludf.DUMMYFUNCTION("""COMPUTED_VALUE"""),"at")</f>
        <v>at</v>
      </c>
      <c r="D98" s="37" t="str">
        <f>IFERROR(__xludf.DUMMYFUNCTION("""COMPUTED_VALUE"""),"Mining Legion")</f>
        <v>Mining Legion</v>
      </c>
      <c r="E98" s="14"/>
      <c r="F98" s="38" t="str">
        <f>IFERROR(__xludf.DUMMYFUNCTION("""COMPUTED_VALUE"""),"Manticore")</f>
        <v>Manticore</v>
      </c>
      <c r="G98" s="38" t="str">
        <f>IFERROR(__xludf.DUMMYFUNCTION("""COMPUTED_VALUE"""),"at")</f>
        <v>at</v>
      </c>
      <c r="H98" s="38" t="str">
        <f>IFERROR(__xludf.DUMMYFUNCTION("""COMPUTED_VALUE"""),"Gold Hoarders")</f>
        <v>Gold Hoarders</v>
      </c>
      <c r="I98" s="4"/>
      <c r="J98" s="4"/>
      <c r="K98" s="4"/>
      <c r="L98" s="4"/>
      <c r="M98" s="4"/>
      <c r="N98" s="4"/>
      <c r="O98" s="4"/>
      <c r="P98" s="4"/>
      <c r="Q98" s="4"/>
    </row>
    <row r="99">
      <c r="A99" s="4"/>
      <c r="B99" s="37" t="str">
        <f>IFERROR(__xludf.DUMMYFUNCTION("""COMPUTED_VALUE"""),"Black Ice")</f>
        <v>Black Ice</v>
      </c>
      <c r="C99" s="37" t="str">
        <f>IFERROR(__xludf.DUMMYFUNCTION("""COMPUTED_VALUE"""),"at")</f>
        <v>at</v>
      </c>
      <c r="D99" s="37" t="str">
        <f>IFERROR(__xludf.DUMMYFUNCTION("""COMPUTED_VALUE"""),"Quasars")</f>
        <v>Quasars</v>
      </c>
      <c r="E99" s="14"/>
      <c r="F99" s="38" t="str">
        <f>IFERROR(__xludf.DUMMYFUNCTION("""COMPUTED_VALUE"""),"Glaciers")</f>
        <v>Glaciers</v>
      </c>
      <c r="G99" s="38" t="str">
        <f>IFERROR(__xludf.DUMMYFUNCTION("""COMPUTED_VALUE"""),"at")</f>
        <v>at</v>
      </c>
      <c r="H99" s="38" t="str">
        <f>IFERROR(__xludf.DUMMYFUNCTION("""COMPUTED_VALUE"""),"Blitzars")</f>
        <v>Blitzars</v>
      </c>
      <c r="I99" s="4"/>
      <c r="J99" s="4"/>
      <c r="K99" s="4"/>
      <c r="L99" s="4"/>
      <c r="M99" s="4"/>
      <c r="N99" s="4"/>
      <c r="O99" s="4"/>
      <c r="P99" s="4"/>
      <c r="Q99" s="4"/>
    </row>
    <row r="100">
      <c r="A100" s="4"/>
      <c r="B100" s="37" t="str">
        <f>IFERROR(__xludf.DUMMYFUNCTION("""COMPUTED_VALUE"""),"Polar Ice")</f>
        <v>Polar Ice</v>
      </c>
      <c r="C100" s="37" t="str">
        <f>IFERROR(__xludf.DUMMYFUNCTION("""COMPUTED_VALUE"""),"at")</f>
        <v>at</v>
      </c>
      <c r="D100" s="37" t="str">
        <f>IFERROR(__xludf.DUMMYFUNCTION("""COMPUTED_VALUE"""),"Samurai")</f>
        <v>Samurai</v>
      </c>
      <c r="E100" s="14"/>
      <c r="F100" s="38" t="str">
        <f>IFERROR(__xludf.DUMMYFUNCTION("""COMPUTED_VALUE"""),"Spearmint")</f>
        <v>Spearmint</v>
      </c>
      <c r="G100" s="38" t="str">
        <f>IFERROR(__xludf.DUMMYFUNCTION("""COMPUTED_VALUE"""),"at")</f>
        <v>at</v>
      </c>
      <c r="H100" s="38" t="str">
        <f>IFERROR(__xludf.DUMMYFUNCTION("""COMPUTED_VALUE"""),"Jinyiwei")</f>
        <v>Jinyiwei</v>
      </c>
      <c r="I100" s="4"/>
      <c r="J100" s="4"/>
      <c r="K100" s="4"/>
      <c r="L100" s="4"/>
      <c r="M100" s="4"/>
      <c r="N100" s="4"/>
      <c r="O100" s="4"/>
      <c r="P100" s="4"/>
      <c r="Q100" s="4"/>
    </row>
    <row r="101">
      <c r="A101" s="4"/>
      <c r="B101" s="37" t="str">
        <f>IFERROR(__xludf.DUMMYFUNCTION("""COMPUTED_VALUE"""),"Centuriones")</f>
        <v>Centuriones</v>
      </c>
      <c r="C101" s="37" t="str">
        <f>IFERROR(__xludf.DUMMYFUNCTION("""COMPUTED_VALUE"""),"at")</f>
        <v>at</v>
      </c>
      <c r="D101" s="37" t="str">
        <f>IFERROR(__xludf.DUMMYFUNCTION("""COMPUTED_VALUE"""),"Phantoms")</f>
        <v>Phantoms</v>
      </c>
      <c r="E101" s="14"/>
      <c r="F101" s="38" t="str">
        <f>IFERROR(__xludf.DUMMYFUNCTION("""COMPUTED_VALUE"""),"Decuriones")</f>
        <v>Decuriones</v>
      </c>
      <c r="G101" s="38" t="str">
        <f>IFERROR(__xludf.DUMMYFUNCTION("""COMPUTED_VALUE"""),"at")</f>
        <v>at</v>
      </c>
      <c r="H101" s="38" t="str">
        <f>IFERROR(__xludf.DUMMYFUNCTION("""COMPUTED_VALUE"""),"Zombies")</f>
        <v>Zombies</v>
      </c>
      <c r="I101" s="4"/>
      <c r="J101" s="4"/>
      <c r="K101" s="4"/>
      <c r="L101" s="4"/>
      <c r="M101" s="4"/>
      <c r="N101" s="4"/>
      <c r="O101" s="4"/>
      <c r="P101" s="4"/>
      <c r="Q101" s="4"/>
    </row>
    <row r="102">
      <c r="A102" s="4"/>
      <c r="B102" s="37" t="str">
        <f>IFERROR(__xludf.DUMMYFUNCTION("""COMPUTED_VALUE"""),"Polar Bears")</f>
        <v>Polar Bears</v>
      </c>
      <c r="C102" s="37" t="str">
        <f>IFERROR(__xludf.DUMMYFUNCTION("""COMPUTED_VALUE"""),"at")</f>
        <v>at</v>
      </c>
      <c r="D102" s="37" t="str">
        <f>IFERROR(__xludf.DUMMYFUNCTION("""COMPUTED_VALUE"""),"Hot Wings")</f>
        <v>Hot Wings</v>
      </c>
      <c r="E102" s="14"/>
      <c r="F102" s="38" t="str">
        <f>IFERROR(__xludf.DUMMYFUNCTION("""COMPUTED_VALUE"""),"Panda Bears")</f>
        <v>Panda Bears</v>
      </c>
      <c r="G102" s="38" t="str">
        <f>IFERROR(__xludf.DUMMYFUNCTION("""COMPUTED_VALUE"""),"at")</f>
        <v>at</v>
      </c>
      <c r="H102" s="38" t="str">
        <f>IFERROR(__xludf.DUMMYFUNCTION("""COMPUTED_VALUE"""),"Meat Lovers")</f>
        <v>Meat Lovers</v>
      </c>
      <c r="I102" s="4"/>
      <c r="J102" s="4"/>
      <c r="K102" s="4"/>
      <c r="L102" s="4"/>
      <c r="M102" s="4"/>
      <c r="N102" s="4"/>
      <c r="O102" s="4"/>
      <c r="P102" s="4"/>
      <c r="Q102" s="4"/>
    </row>
    <row r="103">
      <c r="A103" s="4"/>
      <c r="B103" s="37" t="str">
        <f>IFERROR(__xludf.DUMMYFUNCTION("""COMPUTED_VALUE"""),"Dracos")</f>
        <v>Dracos</v>
      </c>
      <c r="C103" s="37" t="str">
        <f>IFERROR(__xludf.DUMMYFUNCTION("""COMPUTED_VALUE"""),"at")</f>
        <v>at</v>
      </c>
      <c r="D103" s="37" t="str">
        <f>IFERROR(__xludf.DUMMYFUNCTION("""COMPUTED_VALUE"""),"Scramjets")</f>
        <v>Scramjets</v>
      </c>
      <c r="E103" s="14"/>
      <c r="F103" s="38" t="str">
        <f>IFERROR(__xludf.DUMMYFUNCTION("""COMPUTED_VALUE"""),"Sirens")</f>
        <v>Sirens</v>
      </c>
      <c r="G103" s="38" t="str">
        <f>IFERROR(__xludf.DUMMYFUNCTION("""COMPUTED_VALUE"""),"at")</f>
        <v>at</v>
      </c>
      <c r="H103" s="38" t="str">
        <f>IFERROR(__xludf.DUMMYFUNCTION("""COMPUTED_VALUE"""),"Warbirds")</f>
        <v>Warbirds</v>
      </c>
      <c r="I103" s="4"/>
      <c r="J103" s="4"/>
      <c r="K103" s="4"/>
      <c r="L103" s="4"/>
      <c r="M103" s="4"/>
      <c r="N103" s="4"/>
      <c r="O103" s="4"/>
      <c r="P103" s="4"/>
      <c r="Q103" s="4"/>
    </row>
    <row r="104">
      <c r="A104" s="4"/>
      <c r="B104" s="37" t="str">
        <f>IFERROR(__xludf.DUMMYFUNCTION("""COMPUTED_VALUE"""),"Purrgatory")</f>
        <v>Purrgatory</v>
      </c>
      <c r="C104" s="37" t="str">
        <f>IFERROR(__xludf.DUMMYFUNCTION("""COMPUTED_VALUE"""),"at")</f>
        <v>at</v>
      </c>
      <c r="D104" s="37" t="str">
        <f>IFERROR(__xludf.DUMMYFUNCTION("""COMPUTED_VALUE"""),"Nightfall")</f>
        <v>Nightfall</v>
      </c>
      <c r="E104" s="14"/>
      <c r="F104" s="38" t="str">
        <f>IFERROR(__xludf.DUMMYFUNCTION("""COMPUTED_VALUE"""),"Thunder Pups")</f>
        <v>Thunder Pups</v>
      </c>
      <c r="G104" s="38" t="str">
        <f>IFERROR(__xludf.DUMMYFUNCTION("""COMPUTED_VALUE"""),"at")</f>
        <v>at</v>
      </c>
      <c r="H104" s="38" t="str">
        <f>IFERROR(__xludf.DUMMYFUNCTION("""COMPUTED_VALUE"""),"Shade")</f>
        <v>Shade</v>
      </c>
      <c r="I104" s="4"/>
      <c r="J104" s="4"/>
      <c r="K104" s="4"/>
      <c r="L104" s="4"/>
      <c r="M104" s="4"/>
      <c r="N104" s="4"/>
      <c r="O104" s="4"/>
      <c r="P104" s="4"/>
      <c r="Q104" s="4"/>
    </row>
    <row r="105">
      <c r="A105" s="4"/>
      <c r="B105" s="37" t="str">
        <f>IFERROR(__xludf.DUMMYFUNCTION("""COMPUTED_VALUE"""),"Hammerheads")</f>
        <v>Hammerheads</v>
      </c>
      <c r="C105" s="37" t="str">
        <f>IFERROR(__xludf.DUMMYFUNCTION("""COMPUTED_VALUE"""),"at")</f>
        <v>at</v>
      </c>
      <c r="D105" s="37" t="str">
        <f>IFERROR(__xludf.DUMMYFUNCTION("""COMPUTED_VALUE"""),"Hippos")</f>
        <v>Hippos</v>
      </c>
      <c r="E105" s="14"/>
      <c r="F105" s="38" t="str">
        <f>IFERROR(__xludf.DUMMYFUNCTION("""COMPUTED_VALUE"""),"Threshers")</f>
        <v>Threshers</v>
      </c>
      <c r="G105" s="38" t="str">
        <f>IFERROR(__xludf.DUMMYFUNCTION("""COMPUTED_VALUE"""),"at")</f>
        <v>at</v>
      </c>
      <c r="H105" s="38" t="str">
        <f>IFERROR(__xludf.DUMMYFUNCTION("""COMPUTED_VALUE"""),"Happy B-day Jess")</f>
        <v>Happy B-day Jess</v>
      </c>
      <c r="I105" s="4"/>
      <c r="J105" s="4"/>
      <c r="K105" s="4"/>
      <c r="L105" s="4"/>
      <c r="M105" s="4"/>
      <c r="N105" s="4"/>
      <c r="O105" s="4"/>
      <c r="P105" s="4"/>
      <c r="Q105" s="4"/>
    </row>
    <row r="106">
      <c r="A106" s="4"/>
      <c r="B106" s="37" t="str">
        <f>IFERROR(__xludf.DUMMYFUNCTION("""COMPUTED_VALUE"""),"Kitsune")</f>
        <v>Kitsune</v>
      </c>
      <c r="C106" s="37" t="str">
        <f>IFERROR(__xludf.DUMMYFUNCTION("""COMPUTED_VALUE"""),"at")</f>
        <v>at</v>
      </c>
      <c r="D106" s="37" t="str">
        <f>IFERROR(__xludf.DUMMYFUNCTION("""COMPUTED_VALUE"""),"Barracudas")</f>
        <v>Barracudas</v>
      </c>
      <c r="E106" s="14"/>
      <c r="F106" s="38" t="str">
        <f>IFERROR(__xludf.DUMMYFUNCTION("""COMPUTED_VALUE"""),"Ryujin")</f>
        <v>Ryujin</v>
      </c>
      <c r="G106" s="38" t="str">
        <f>IFERROR(__xludf.DUMMYFUNCTION("""COMPUTED_VALUE"""),"at")</f>
        <v>at</v>
      </c>
      <c r="H106" s="38" t="str">
        <f>IFERROR(__xludf.DUMMYFUNCTION("""COMPUTED_VALUE"""),"Stingrays")</f>
        <v>Stingrays</v>
      </c>
      <c r="I106" s="4"/>
      <c r="J106" s="4"/>
      <c r="K106" s="4"/>
      <c r="L106" s="4"/>
      <c r="M106" s="4"/>
      <c r="N106" s="4"/>
      <c r="O106" s="4"/>
      <c r="P106" s="4"/>
      <c r="Q106" s="4"/>
    </row>
    <row r="107">
      <c r="A107" s="4"/>
      <c r="B107" s="37" t="str">
        <f>IFERROR(__xludf.DUMMYFUNCTION("""COMPUTED_VALUE"""),"Wind")</f>
        <v>Wind</v>
      </c>
      <c r="C107" s="37" t="str">
        <f>IFERROR(__xludf.DUMMYFUNCTION("""COMPUTED_VALUE"""),"at")</f>
        <v>at</v>
      </c>
      <c r="D107" s="37" t="str">
        <f>IFERROR(__xludf.DUMMYFUNCTION("""COMPUTED_VALUE"""),"Gaboons")</f>
        <v>Gaboons</v>
      </c>
      <c r="E107" s="14"/>
      <c r="F107" s="38" t="str">
        <f>IFERROR(__xludf.DUMMYFUNCTION("""COMPUTED_VALUE"""),"Metal")</f>
        <v>Metal</v>
      </c>
      <c r="G107" s="38" t="str">
        <f>IFERROR(__xludf.DUMMYFUNCTION("""COMPUTED_VALUE"""),"at")</f>
        <v>at</v>
      </c>
      <c r="H107" s="38" t="str">
        <f>IFERROR(__xludf.DUMMYFUNCTION("""COMPUTED_VALUE"""),"Corals")</f>
        <v>Corals</v>
      </c>
      <c r="I107" s="4"/>
      <c r="J107" s="4"/>
      <c r="K107" s="4"/>
      <c r="L107" s="4"/>
      <c r="M107" s="4"/>
      <c r="N107" s="4"/>
      <c r="O107" s="4"/>
      <c r="P107" s="4"/>
      <c r="Q107" s="4"/>
    </row>
    <row r="108">
      <c r="A108" s="4"/>
      <c r="B108" s="44" t="str">
        <f>IFERROR(__xludf.DUMMYFUNCTION("""COMPUTED_VALUE"""),"Hue Heroes")</f>
        <v>Hue Heroes</v>
      </c>
      <c r="C108" s="44" t="str">
        <f>IFERROR(__xludf.DUMMYFUNCTION("""COMPUTED_VALUE"""),"at")</f>
        <v>at</v>
      </c>
      <c r="D108" s="44" t="str">
        <f>IFERROR(__xludf.DUMMYFUNCTION("""COMPUTED_VALUE"""),"Guards")</f>
        <v>Guards</v>
      </c>
      <c r="E108" s="45"/>
      <c r="F108" s="46" t="str">
        <f>IFERROR(__xludf.DUMMYFUNCTION("""COMPUTED_VALUE"""),"Chromatic Chaos")</f>
        <v>Chromatic Chaos</v>
      </c>
      <c r="G108" s="46" t="str">
        <f>IFERROR(__xludf.DUMMYFUNCTION("""COMPUTED_VALUE"""),"at")</f>
        <v>at</v>
      </c>
      <c r="H108" s="46" t="str">
        <f>IFERROR(__xludf.DUMMYFUNCTION("""COMPUTED_VALUE"""),"Scribes")</f>
        <v>Scribes</v>
      </c>
      <c r="I108" s="4"/>
      <c r="J108" s="4"/>
      <c r="K108" s="4"/>
      <c r="L108" s="4"/>
      <c r="M108" s="4"/>
      <c r="N108" s="4"/>
      <c r="O108" s="4"/>
      <c r="P108" s="4"/>
      <c r="Q108" s="4"/>
    </row>
    <row r="109">
      <c r="A109" s="4"/>
      <c r="B109" s="4"/>
      <c r="C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</sheetData>
  <mergeCells count="33">
    <mergeCell ref="B3:D3"/>
    <mergeCell ref="F3:H3"/>
    <mergeCell ref="J3:L3"/>
    <mergeCell ref="N3:P3"/>
    <mergeCell ref="F4:H4"/>
    <mergeCell ref="J4:L4"/>
    <mergeCell ref="N4:P4"/>
    <mergeCell ref="B4:D4"/>
    <mergeCell ref="B9:D9"/>
    <mergeCell ref="F11:H11"/>
    <mergeCell ref="B14:D14"/>
    <mergeCell ref="F18:H18"/>
    <mergeCell ref="J21:L21"/>
    <mergeCell ref="N21:P21"/>
    <mergeCell ref="J38:L38"/>
    <mergeCell ref="N38:P38"/>
    <mergeCell ref="B57:D57"/>
    <mergeCell ref="F57:H57"/>
    <mergeCell ref="N57:P57"/>
    <mergeCell ref="B58:D58"/>
    <mergeCell ref="F58:H58"/>
    <mergeCell ref="N58:P58"/>
    <mergeCell ref="B75:D75"/>
    <mergeCell ref="B92:D92"/>
    <mergeCell ref="F92:H92"/>
    <mergeCell ref="C109:E109"/>
    <mergeCell ref="J57:L57"/>
    <mergeCell ref="J58:L58"/>
    <mergeCell ref="N63:P63"/>
    <mergeCell ref="J65:L65"/>
    <mergeCell ref="N68:P68"/>
    <mergeCell ref="J72:L72"/>
    <mergeCell ref="F75:H7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2.63"/>
    <col customWidth="1" min="2" max="2" width="14.0"/>
    <col customWidth="1" min="3" max="8" width="15.13"/>
    <col customWidth="1" min="9" max="10" width="12.63"/>
    <col customWidth="1" min="11" max="11" width="15.13"/>
    <col customWidth="1" min="12" max="12" width="2.63"/>
  </cols>
  <sheetData>
    <row r="1">
      <c r="A1" s="4" t="str">
        <f>IFERROR(__xludf.DUMMYFUNCTION("IMPORTRANGE(Imports!B1, ""Premier!A:K"")"),"")</f>
        <v/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ht="27.0" customHeight="1">
      <c r="A2" s="43"/>
      <c r="B2" s="43"/>
      <c r="C2" s="47" t="str">
        <f>IFERROR(__xludf.DUMMYFUNCTION("""COMPUTED_VALUE"""),"Premier Schedule")</f>
        <v>Premier Schedule</v>
      </c>
      <c r="K2" s="43"/>
      <c r="L2" s="43"/>
    </row>
    <row r="3">
      <c r="A3" s="4"/>
      <c r="B3" s="48" t="str">
        <f>IFERROR(__xludf.DUMMYFUNCTION("""COMPUTED_VALUE"""),"Preseason")</f>
        <v>Preseason</v>
      </c>
      <c r="C3" s="43"/>
      <c r="D3" s="43"/>
      <c r="E3" s="43"/>
      <c r="F3" s="43"/>
      <c r="G3" s="43"/>
      <c r="H3" s="43"/>
      <c r="I3" s="4"/>
      <c r="J3" s="4"/>
      <c r="K3" s="48" t="str">
        <f>IFERROR(__xludf.DUMMYFUNCTION("""COMPUTED_VALUE"""),"Preseason")</f>
        <v>Preseason</v>
      </c>
      <c r="L3" s="4"/>
    </row>
    <row r="4">
      <c r="A4" s="4"/>
      <c r="B4" s="49" t="str">
        <f>IFERROR(__xludf.DUMMYFUNCTION("""COMPUTED_VALUE"""),"First Matchup")</f>
        <v>First Matchup</v>
      </c>
      <c r="C4" s="50" t="str">
        <f>IFERROR(__xludf.DUMMYFUNCTION("""COMPUTED_VALUE"""),"Each team plays all opponents twice")</f>
        <v>Each team plays all opponents twice</v>
      </c>
      <c r="K4" s="49" t="str">
        <f>IFERROR(__xludf.DUMMYFUNCTION("""COMPUTED_VALUE"""),"First Matchup")</f>
        <v>First Matchup</v>
      </c>
      <c r="L4" s="4"/>
    </row>
    <row r="5">
      <c r="A5" s="4"/>
      <c r="B5" s="51" t="str">
        <f>IFERROR(__xludf.DUMMYFUNCTION("""COMPUTED_VALUE"""),"Second Matchup")</f>
        <v>Second Matchup</v>
      </c>
      <c r="C5" s="4"/>
      <c r="D5" s="4"/>
      <c r="E5" s="4"/>
      <c r="F5" s="4"/>
      <c r="G5" s="4"/>
      <c r="H5" s="4"/>
      <c r="I5" s="4"/>
      <c r="J5" s="4"/>
      <c r="K5" s="51" t="str">
        <f>IFERROR(__xludf.DUMMYFUNCTION("""COMPUTED_VALUE"""),"Second Matchup")</f>
        <v>Second Matchup</v>
      </c>
      <c r="L5" s="4"/>
    </row>
    <row r="6">
      <c r="A6" s="4"/>
      <c r="B6" s="52" t="str">
        <f>IFERROR(__xludf.DUMMYFUNCTION("""COMPUTED_VALUE"""),"Playoffs")</f>
        <v>Playoffs</v>
      </c>
      <c r="C6" s="53" t="str">
        <f>IFERROR(__xludf.DUMMYFUNCTION("""COMPUTED_VALUE"""),"Capybaras")</f>
        <v>Capybaras</v>
      </c>
      <c r="D6" s="53" t="str">
        <f>IFERROR(__xludf.DUMMYFUNCTION("""COMPUTED_VALUE"""),"Interstellar")</f>
        <v>Interstellar</v>
      </c>
      <c r="E6" s="53" t="str">
        <f>IFERROR(__xludf.DUMMYFUNCTION("""COMPUTED_VALUE"""),"Gummy Bears")</f>
        <v>Gummy Bears</v>
      </c>
      <c r="F6" s="53" t="str">
        <f>IFERROR(__xludf.DUMMYFUNCTION("""COMPUTED_VALUE"""),"Leviathans")</f>
        <v>Leviathans</v>
      </c>
      <c r="G6" s="53" t="str">
        <f>IFERROR(__xludf.DUMMYFUNCTION("""COMPUTED_VALUE"""),"Feta Forgers")</f>
        <v>Feta Forgers</v>
      </c>
      <c r="H6" s="53" t="str">
        <f>IFERROR(__xludf.DUMMYFUNCTION("""COMPUTED_VALUE"""),"Crooked Capos")</f>
        <v>Crooked Capos</v>
      </c>
      <c r="I6" s="53" t="str">
        <f>IFERROR(__xludf.DUMMYFUNCTION("""COMPUTED_VALUE"""),"Punks")</f>
        <v>Punks</v>
      </c>
      <c r="J6" s="53" t="str">
        <f>IFERROR(__xludf.DUMMYFUNCTION("""COMPUTED_VALUE"""),"Super Clusters")</f>
        <v>Super Clusters</v>
      </c>
      <c r="K6" s="52" t="str">
        <f>IFERROR(__xludf.DUMMYFUNCTION("""COMPUTED_VALUE"""),"Playoffs")</f>
        <v>Playoffs</v>
      </c>
      <c r="L6" s="4"/>
    </row>
    <row r="7">
      <c r="A7" s="54" t="str">
        <f>IFERROR(__xludf.DUMMYFUNCTION("""COMPUTED_VALUE"""),"MD3")</f>
        <v>MD3</v>
      </c>
      <c r="B7" s="55" t="str">
        <f>IFERROR(__xludf.DUMMYFUNCTION("""COMPUTED_VALUE"""),"Preseason 1")</f>
        <v>Preseason 1</v>
      </c>
      <c r="C7" s="56" t="str">
        <f>IFERROR(__xludf.DUMMYFUNCTION("""COMPUTED_VALUE"""),"Leviathans")</f>
        <v>Leviathans</v>
      </c>
      <c r="D7" s="56" t="str">
        <f>IFERROR(__xludf.DUMMYFUNCTION("""COMPUTED_VALUE"""),"Feta Forgers")</f>
        <v>Feta Forgers</v>
      </c>
      <c r="E7" s="56" t="str">
        <f>IFERROR(__xludf.DUMMYFUNCTION("""COMPUTED_VALUE"""),"Super Clusters")</f>
        <v>Super Clusters</v>
      </c>
      <c r="F7" s="56" t="str">
        <f>IFERROR(__xludf.DUMMYFUNCTION("""COMPUTED_VALUE"""),"Capybaras")</f>
        <v>Capybaras</v>
      </c>
      <c r="G7" s="56" t="str">
        <f>IFERROR(__xludf.DUMMYFUNCTION("""COMPUTED_VALUE"""),"Interstellar")</f>
        <v>Interstellar</v>
      </c>
      <c r="H7" s="57" t="str">
        <f>IFERROR(__xludf.DUMMYFUNCTION("""COMPUTED_VALUE"""),"Punks")</f>
        <v>Punks</v>
      </c>
      <c r="I7" s="58" t="str">
        <f>IFERROR(__xludf.DUMMYFUNCTION("""COMPUTED_VALUE"""),"Crooked Capos")</f>
        <v>Crooked Capos</v>
      </c>
      <c r="J7" s="58" t="str">
        <f>IFERROR(__xludf.DUMMYFUNCTION("""COMPUTED_VALUE"""),"Gummy Bears")</f>
        <v>Gummy Bears</v>
      </c>
      <c r="K7" s="59">
        <f>IFERROR(__xludf.DUMMYFUNCTION("""COMPUTED_VALUE"""),45896.0)</f>
        <v>45896</v>
      </c>
      <c r="L7" s="4"/>
    </row>
    <row r="8">
      <c r="A8" s="54" t="str">
        <f>IFERROR(__xludf.DUMMYFUNCTION("""COMPUTED_VALUE"""),"MD5")</f>
        <v>MD5</v>
      </c>
      <c r="B8" s="55" t="str">
        <f>IFERROR(__xludf.DUMMYFUNCTION("""COMPUTED_VALUE"""),"Preseason 2")</f>
        <v>Preseason 2</v>
      </c>
      <c r="C8" s="56" t="str">
        <f>IFERROR(__xludf.DUMMYFUNCTION("""COMPUTED_VALUE"""),"Crooked Capos")</f>
        <v>Crooked Capos</v>
      </c>
      <c r="D8" s="56" t="str">
        <f>IFERROR(__xludf.DUMMYFUNCTION("""COMPUTED_VALUE"""),"Gummy Bears")</f>
        <v>Gummy Bears</v>
      </c>
      <c r="E8" s="56" t="str">
        <f>IFERROR(__xludf.DUMMYFUNCTION("""COMPUTED_VALUE"""),"Interstellar")</f>
        <v>Interstellar</v>
      </c>
      <c r="F8" s="56" t="str">
        <f>IFERROR(__xludf.DUMMYFUNCTION("""COMPUTED_VALUE"""),"Punks")</f>
        <v>Punks</v>
      </c>
      <c r="G8" s="56" t="str">
        <f>IFERROR(__xludf.DUMMYFUNCTION("""COMPUTED_VALUE"""),"Super Clusters")</f>
        <v>Super Clusters</v>
      </c>
      <c r="H8" s="57" t="str">
        <f>IFERROR(__xludf.DUMMYFUNCTION("""COMPUTED_VALUE"""),"Capybaras")</f>
        <v>Capybaras</v>
      </c>
      <c r="I8" s="58" t="str">
        <f>IFERROR(__xludf.DUMMYFUNCTION("""COMPUTED_VALUE"""),"Leviathans")</f>
        <v>Leviathans</v>
      </c>
      <c r="J8" s="58" t="str">
        <f>IFERROR(__xludf.DUMMYFUNCTION("""COMPUTED_VALUE"""),"Feta Forgers")</f>
        <v>Feta Forgers</v>
      </c>
      <c r="K8" s="59">
        <f>IFERROR(__xludf.DUMMYFUNCTION("""COMPUTED_VALUE"""),45903.0)</f>
        <v>45903</v>
      </c>
      <c r="L8" s="4"/>
    </row>
    <row r="9">
      <c r="A9" s="54" t="str">
        <f>IFERROR(__xludf.DUMMYFUNCTION("""COMPUTED_VALUE"""),"MD7")</f>
        <v>MD7</v>
      </c>
      <c r="B9" s="55" t="str">
        <f>IFERROR(__xludf.DUMMYFUNCTION("""COMPUTED_VALUE"""),"Preseason 3")</f>
        <v>Preseason 3</v>
      </c>
      <c r="C9" s="56" t="str">
        <f>IFERROR(__xludf.DUMMYFUNCTION("""COMPUTED_VALUE"""),"Super Clusters")</f>
        <v>Super Clusters</v>
      </c>
      <c r="D9" s="56" t="str">
        <f>IFERROR(__xludf.DUMMYFUNCTION("""COMPUTED_VALUE"""),"Punks")</f>
        <v>Punks</v>
      </c>
      <c r="E9" s="56" t="str">
        <f>IFERROR(__xludf.DUMMYFUNCTION("""COMPUTED_VALUE"""),"Crooked Capos")</f>
        <v>Crooked Capos</v>
      </c>
      <c r="F9" s="56" t="str">
        <f>IFERROR(__xludf.DUMMYFUNCTION("""COMPUTED_VALUE"""),"Feta Forgers")</f>
        <v>Feta Forgers</v>
      </c>
      <c r="G9" s="56" t="str">
        <f>IFERROR(__xludf.DUMMYFUNCTION("""COMPUTED_VALUE"""),"Leviathans")</f>
        <v>Leviathans</v>
      </c>
      <c r="H9" s="57" t="str">
        <f>IFERROR(__xludf.DUMMYFUNCTION("""COMPUTED_VALUE"""),"Gummy Bears")</f>
        <v>Gummy Bears</v>
      </c>
      <c r="I9" s="58" t="str">
        <f>IFERROR(__xludf.DUMMYFUNCTION("""COMPUTED_VALUE"""),"Interstellar")</f>
        <v>Interstellar</v>
      </c>
      <c r="J9" s="58" t="str">
        <f>IFERROR(__xludf.DUMMYFUNCTION("""COMPUTED_VALUE"""),"Capybaras")</f>
        <v>Capybaras</v>
      </c>
      <c r="K9" s="59">
        <f>IFERROR(__xludf.DUMMYFUNCTION("""COMPUTED_VALUE"""),45908.0)</f>
        <v>45908</v>
      </c>
      <c r="L9" s="4"/>
    </row>
    <row r="10">
      <c r="A10" s="4"/>
      <c r="B10" s="55" t="str">
        <f>IFERROR(__xludf.DUMMYFUNCTION("""COMPUTED_VALUE"""),"Match Day 1")</f>
        <v>Match Day 1</v>
      </c>
      <c r="C10" s="60" t="str">
        <f>IFERROR(__xludf.DUMMYFUNCTION("""COMPUTED_VALUE"""),"Interstellar")</f>
        <v>Interstellar</v>
      </c>
      <c r="D10" s="60" t="str">
        <f>IFERROR(__xludf.DUMMYFUNCTION("""COMPUTED_VALUE"""),"Capybaras")</f>
        <v>Capybaras</v>
      </c>
      <c r="E10" s="60" t="str">
        <f>IFERROR(__xludf.DUMMYFUNCTION("""COMPUTED_VALUE"""),"Leviathans")</f>
        <v>Leviathans</v>
      </c>
      <c r="F10" s="60" t="str">
        <f>IFERROR(__xludf.DUMMYFUNCTION("""COMPUTED_VALUE"""),"Gummy Bears")</f>
        <v>Gummy Bears</v>
      </c>
      <c r="G10" s="60" t="str">
        <f>IFERROR(__xludf.DUMMYFUNCTION("""COMPUTED_VALUE"""),"Crooked Capos")</f>
        <v>Crooked Capos</v>
      </c>
      <c r="H10" s="61" t="str">
        <f>IFERROR(__xludf.DUMMYFUNCTION("""COMPUTED_VALUE"""),"Feta Forgers")</f>
        <v>Feta Forgers</v>
      </c>
      <c r="I10" s="62" t="str">
        <f>IFERROR(__xludf.DUMMYFUNCTION("""COMPUTED_VALUE"""),"Super Clusters")</f>
        <v>Super Clusters</v>
      </c>
      <c r="J10" s="62" t="str">
        <f>IFERROR(__xludf.DUMMYFUNCTION("""COMPUTED_VALUE"""),"Punks")</f>
        <v>Punks</v>
      </c>
      <c r="K10" s="59">
        <f>IFERROR(__xludf.DUMMYFUNCTION("""COMPUTED_VALUE"""),45910.0)</f>
        <v>45910</v>
      </c>
      <c r="L10" s="4"/>
    </row>
    <row r="11">
      <c r="A11" s="4"/>
      <c r="B11" s="55" t="str">
        <f>IFERROR(__xludf.DUMMYFUNCTION("""COMPUTED_VALUE"""),"Match Day 2")</f>
        <v>Match Day 2</v>
      </c>
      <c r="C11" s="60" t="str">
        <f>IFERROR(__xludf.DUMMYFUNCTION("""COMPUTED_VALUE"""),"Gummy Bears")</f>
        <v>Gummy Bears</v>
      </c>
      <c r="D11" s="60" t="str">
        <f>IFERROR(__xludf.DUMMYFUNCTION("""COMPUTED_VALUE"""),"Leviathans")</f>
        <v>Leviathans</v>
      </c>
      <c r="E11" s="60" t="str">
        <f>IFERROR(__xludf.DUMMYFUNCTION("""COMPUTED_VALUE"""),"Capybaras")</f>
        <v>Capybaras</v>
      </c>
      <c r="F11" s="60" t="str">
        <f>IFERROR(__xludf.DUMMYFUNCTION("""COMPUTED_VALUE"""),"Interstellar")</f>
        <v>Interstellar</v>
      </c>
      <c r="G11" s="60" t="str">
        <f>IFERROR(__xludf.DUMMYFUNCTION("""COMPUTED_VALUE"""),"Punks")</f>
        <v>Punks</v>
      </c>
      <c r="H11" s="61" t="str">
        <f>IFERROR(__xludf.DUMMYFUNCTION("""COMPUTED_VALUE"""),"Super Clusters")</f>
        <v>Super Clusters</v>
      </c>
      <c r="I11" s="62" t="str">
        <f>IFERROR(__xludf.DUMMYFUNCTION("""COMPUTED_VALUE"""),"Feta Forgers")</f>
        <v>Feta Forgers</v>
      </c>
      <c r="J11" s="62" t="str">
        <f>IFERROR(__xludf.DUMMYFUNCTION("""COMPUTED_VALUE"""),"Crooked Capos")</f>
        <v>Crooked Capos</v>
      </c>
      <c r="K11" s="59">
        <f>IFERROR(__xludf.DUMMYFUNCTION("""COMPUTED_VALUE"""),45915.0)</f>
        <v>45915</v>
      </c>
      <c r="L11" s="4"/>
    </row>
    <row r="12">
      <c r="A12" s="4"/>
      <c r="B12" s="55" t="str">
        <f>IFERROR(__xludf.DUMMYFUNCTION("""COMPUTED_VALUE"""),"Match Day 3")</f>
        <v>Match Day 3</v>
      </c>
      <c r="C12" s="60" t="str">
        <f>IFERROR(__xludf.DUMMYFUNCTION("""COMPUTED_VALUE"""),"Leviathans")</f>
        <v>Leviathans</v>
      </c>
      <c r="D12" s="60" t="str">
        <f>IFERROR(__xludf.DUMMYFUNCTION("""COMPUTED_VALUE"""),"Feta Forgers")</f>
        <v>Feta Forgers</v>
      </c>
      <c r="E12" s="60" t="str">
        <f>IFERROR(__xludf.DUMMYFUNCTION("""COMPUTED_VALUE"""),"Super Clusters")</f>
        <v>Super Clusters</v>
      </c>
      <c r="F12" s="60" t="str">
        <f>IFERROR(__xludf.DUMMYFUNCTION("""COMPUTED_VALUE"""),"Capybaras")</f>
        <v>Capybaras</v>
      </c>
      <c r="G12" s="60" t="str">
        <f>IFERROR(__xludf.DUMMYFUNCTION("""COMPUTED_VALUE"""),"Interstellar")</f>
        <v>Interstellar</v>
      </c>
      <c r="H12" s="61" t="str">
        <f>IFERROR(__xludf.DUMMYFUNCTION("""COMPUTED_VALUE"""),"Punks")</f>
        <v>Punks</v>
      </c>
      <c r="I12" s="62" t="str">
        <f>IFERROR(__xludf.DUMMYFUNCTION("""COMPUTED_VALUE"""),"Crooked Capos")</f>
        <v>Crooked Capos</v>
      </c>
      <c r="J12" s="62" t="str">
        <f>IFERROR(__xludf.DUMMYFUNCTION("""COMPUTED_VALUE"""),"Gummy Bears")</f>
        <v>Gummy Bears</v>
      </c>
      <c r="K12" s="59">
        <f>IFERROR(__xludf.DUMMYFUNCTION("""COMPUTED_VALUE"""),45917.0)</f>
        <v>45917</v>
      </c>
      <c r="L12" s="4"/>
    </row>
    <row r="13">
      <c r="A13" s="4"/>
      <c r="B13" s="55" t="str">
        <f>IFERROR(__xludf.DUMMYFUNCTION("""COMPUTED_VALUE"""),"Match Day 4")</f>
        <v>Match Day 4</v>
      </c>
      <c r="C13" s="60" t="str">
        <f>IFERROR(__xludf.DUMMYFUNCTION("""COMPUTED_VALUE"""),"Feta Forgers")</f>
        <v>Feta Forgers</v>
      </c>
      <c r="D13" s="60" t="str">
        <f>IFERROR(__xludf.DUMMYFUNCTION("""COMPUTED_VALUE"""),"Super Clusters")</f>
        <v>Super Clusters</v>
      </c>
      <c r="E13" s="60" t="str">
        <f>IFERROR(__xludf.DUMMYFUNCTION("""COMPUTED_VALUE"""),"Punks")</f>
        <v>Punks</v>
      </c>
      <c r="F13" s="60" t="str">
        <f>IFERROR(__xludf.DUMMYFUNCTION("""COMPUTED_VALUE"""),"Crooked Capos")</f>
        <v>Crooked Capos</v>
      </c>
      <c r="G13" s="60" t="str">
        <f>IFERROR(__xludf.DUMMYFUNCTION("""COMPUTED_VALUE"""),"Capybaras")</f>
        <v>Capybaras</v>
      </c>
      <c r="H13" s="61" t="str">
        <f>IFERROR(__xludf.DUMMYFUNCTION("""COMPUTED_VALUE"""),"Leviathans")</f>
        <v>Leviathans</v>
      </c>
      <c r="I13" s="62" t="str">
        <f>IFERROR(__xludf.DUMMYFUNCTION("""COMPUTED_VALUE"""),"Gummy Bears")</f>
        <v>Gummy Bears</v>
      </c>
      <c r="J13" s="62" t="str">
        <f>IFERROR(__xludf.DUMMYFUNCTION("""COMPUTED_VALUE"""),"Interstellar")</f>
        <v>Interstellar</v>
      </c>
      <c r="K13" s="59">
        <f>IFERROR(__xludf.DUMMYFUNCTION("""COMPUTED_VALUE"""),45922.0)</f>
        <v>45922</v>
      </c>
      <c r="L13" s="4"/>
    </row>
    <row r="14">
      <c r="A14" s="4"/>
      <c r="B14" s="55" t="str">
        <f>IFERROR(__xludf.DUMMYFUNCTION("""COMPUTED_VALUE"""),"Match Day 5")</f>
        <v>Match Day 5</v>
      </c>
      <c r="C14" s="60" t="str">
        <f>IFERROR(__xludf.DUMMYFUNCTION("""COMPUTED_VALUE"""),"Crooked Capos")</f>
        <v>Crooked Capos</v>
      </c>
      <c r="D14" s="60" t="str">
        <f>IFERROR(__xludf.DUMMYFUNCTION("""COMPUTED_VALUE"""),"Gummy Bears")</f>
        <v>Gummy Bears</v>
      </c>
      <c r="E14" s="60" t="str">
        <f>IFERROR(__xludf.DUMMYFUNCTION("""COMPUTED_VALUE"""),"Interstellar")</f>
        <v>Interstellar</v>
      </c>
      <c r="F14" s="60" t="str">
        <f>IFERROR(__xludf.DUMMYFUNCTION("""COMPUTED_VALUE"""),"Punks")</f>
        <v>Punks</v>
      </c>
      <c r="G14" s="60" t="str">
        <f>IFERROR(__xludf.DUMMYFUNCTION("""COMPUTED_VALUE"""),"Super Clusters")</f>
        <v>Super Clusters</v>
      </c>
      <c r="H14" s="63" t="str">
        <f>IFERROR(__xludf.DUMMYFUNCTION("""COMPUTED_VALUE"""),"Capybaras")</f>
        <v>Capybaras</v>
      </c>
      <c r="I14" s="62" t="str">
        <f>IFERROR(__xludf.DUMMYFUNCTION("""COMPUTED_VALUE"""),"Leviathans")</f>
        <v>Leviathans</v>
      </c>
      <c r="J14" s="62" t="str">
        <f>IFERROR(__xludf.DUMMYFUNCTION("""COMPUTED_VALUE"""),"Feta Forgers")</f>
        <v>Feta Forgers</v>
      </c>
      <c r="K14" s="59">
        <f>IFERROR(__xludf.DUMMYFUNCTION("""COMPUTED_VALUE"""),45924.0)</f>
        <v>45924</v>
      </c>
      <c r="L14" s="4"/>
    </row>
    <row r="15">
      <c r="A15" s="4"/>
      <c r="B15" s="55" t="str">
        <f>IFERROR(__xludf.DUMMYFUNCTION("""COMPUTED_VALUE"""),"Match Day 6")</f>
        <v>Match Day 6</v>
      </c>
      <c r="C15" s="60" t="str">
        <f>IFERROR(__xludf.DUMMYFUNCTION("""COMPUTED_VALUE"""),"Punks")</f>
        <v>Punks</v>
      </c>
      <c r="D15" s="60" t="str">
        <f>IFERROR(__xludf.DUMMYFUNCTION("""COMPUTED_VALUE"""),"Crooked Capos")</f>
        <v>Crooked Capos</v>
      </c>
      <c r="E15" s="60" t="str">
        <f>IFERROR(__xludf.DUMMYFUNCTION("""COMPUTED_VALUE"""),"Feta Forgers")</f>
        <v>Feta Forgers</v>
      </c>
      <c r="F15" s="60" t="str">
        <f>IFERROR(__xludf.DUMMYFUNCTION("""COMPUTED_VALUE"""),"Super Clusters")</f>
        <v>Super Clusters</v>
      </c>
      <c r="G15" s="60" t="str">
        <f>IFERROR(__xludf.DUMMYFUNCTION("""COMPUTED_VALUE"""),"Gummy Bears")</f>
        <v>Gummy Bears</v>
      </c>
      <c r="H15" s="63" t="str">
        <f>IFERROR(__xludf.DUMMYFUNCTION("""COMPUTED_VALUE"""),"Interstellar")</f>
        <v>Interstellar</v>
      </c>
      <c r="I15" s="62" t="str">
        <f>IFERROR(__xludf.DUMMYFUNCTION("""COMPUTED_VALUE"""),"Capybaras")</f>
        <v>Capybaras</v>
      </c>
      <c r="J15" s="62" t="str">
        <f>IFERROR(__xludf.DUMMYFUNCTION("""COMPUTED_VALUE"""),"Leviathans")</f>
        <v>Leviathans</v>
      </c>
      <c r="K15" s="59">
        <f>IFERROR(__xludf.DUMMYFUNCTION("""COMPUTED_VALUE"""),45929.0)</f>
        <v>45929</v>
      </c>
      <c r="L15" s="4"/>
    </row>
    <row r="16">
      <c r="A16" s="4"/>
      <c r="B16" s="55" t="str">
        <f>IFERROR(__xludf.DUMMYFUNCTION("""COMPUTED_VALUE"""),"Match Day 7")</f>
        <v>Match Day 7</v>
      </c>
      <c r="C16" s="60" t="str">
        <f>IFERROR(__xludf.DUMMYFUNCTION("""COMPUTED_VALUE"""),"Super Clusters")</f>
        <v>Super Clusters</v>
      </c>
      <c r="D16" s="60" t="str">
        <f>IFERROR(__xludf.DUMMYFUNCTION("""COMPUTED_VALUE"""),"Punks")</f>
        <v>Punks</v>
      </c>
      <c r="E16" s="60" t="str">
        <f>IFERROR(__xludf.DUMMYFUNCTION("""COMPUTED_VALUE"""),"Crooked Capos")</f>
        <v>Crooked Capos</v>
      </c>
      <c r="F16" s="60" t="str">
        <f>IFERROR(__xludf.DUMMYFUNCTION("""COMPUTED_VALUE"""),"Feta Forgers")</f>
        <v>Feta Forgers</v>
      </c>
      <c r="G16" s="60" t="str">
        <f>IFERROR(__xludf.DUMMYFUNCTION("""COMPUTED_VALUE"""),"Leviathans")</f>
        <v>Leviathans</v>
      </c>
      <c r="H16" s="63" t="str">
        <f>IFERROR(__xludf.DUMMYFUNCTION("""COMPUTED_VALUE"""),"Gummy Bears")</f>
        <v>Gummy Bears</v>
      </c>
      <c r="I16" s="62" t="str">
        <f>IFERROR(__xludf.DUMMYFUNCTION("""COMPUTED_VALUE"""),"Interstellar")</f>
        <v>Interstellar</v>
      </c>
      <c r="J16" s="62" t="str">
        <f>IFERROR(__xludf.DUMMYFUNCTION("""COMPUTED_VALUE"""),"Capybaras")</f>
        <v>Capybaras</v>
      </c>
      <c r="K16" s="59">
        <f>IFERROR(__xludf.DUMMYFUNCTION("""COMPUTED_VALUE"""),45931.0)</f>
        <v>45931</v>
      </c>
      <c r="L16" s="4"/>
    </row>
    <row r="17">
      <c r="A17" s="4"/>
      <c r="B17" s="55" t="str">
        <f>IFERROR(__xludf.DUMMYFUNCTION("""COMPUTED_VALUE"""),"Match Day 8")</f>
        <v>Match Day 8</v>
      </c>
      <c r="C17" s="64" t="str">
        <f>IFERROR(__xludf.DUMMYFUNCTION("""COMPUTED_VALUE"""),"Interstellar")</f>
        <v>Interstellar</v>
      </c>
      <c r="D17" s="64" t="str">
        <f>IFERROR(__xludf.DUMMYFUNCTION("""COMPUTED_VALUE"""),"Capybaras")</f>
        <v>Capybaras</v>
      </c>
      <c r="E17" s="64" t="str">
        <f>IFERROR(__xludf.DUMMYFUNCTION("""COMPUTED_VALUE"""),"Leviathans")</f>
        <v>Leviathans</v>
      </c>
      <c r="F17" s="64" t="str">
        <f>IFERROR(__xludf.DUMMYFUNCTION("""COMPUTED_VALUE"""),"Gummy Bears")</f>
        <v>Gummy Bears</v>
      </c>
      <c r="G17" s="64" t="str">
        <f>IFERROR(__xludf.DUMMYFUNCTION("""COMPUTED_VALUE"""),"Crooked Capos")</f>
        <v>Crooked Capos</v>
      </c>
      <c r="H17" s="65" t="str">
        <f>IFERROR(__xludf.DUMMYFUNCTION("""COMPUTED_VALUE"""),"Feta Forgers")</f>
        <v>Feta Forgers</v>
      </c>
      <c r="I17" s="66" t="str">
        <f>IFERROR(__xludf.DUMMYFUNCTION("""COMPUTED_VALUE"""),"Super Clusters")</f>
        <v>Super Clusters</v>
      </c>
      <c r="J17" s="66" t="str">
        <f>IFERROR(__xludf.DUMMYFUNCTION("""COMPUTED_VALUE"""),"Punks")</f>
        <v>Punks</v>
      </c>
      <c r="K17" s="59">
        <f>IFERROR(__xludf.DUMMYFUNCTION("""COMPUTED_VALUE"""),45936.0)</f>
        <v>45936</v>
      </c>
      <c r="L17" s="4"/>
    </row>
    <row r="18">
      <c r="A18" s="4"/>
      <c r="B18" s="67" t="str">
        <f>IFERROR(__xludf.DUMMYFUNCTION("""COMPUTED_VALUE"""),"Match Day 9")</f>
        <v>Match Day 9</v>
      </c>
      <c r="C18" s="64" t="str">
        <f>IFERROR(__xludf.DUMMYFUNCTION("""COMPUTED_VALUE"""),"Gummy Bears")</f>
        <v>Gummy Bears</v>
      </c>
      <c r="D18" s="64" t="str">
        <f>IFERROR(__xludf.DUMMYFUNCTION("""COMPUTED_VALUE"""),"Leviathans")</f>
        <v>Leviathans</v>
      </c>
      <c r="E18" s="64" t="str">
        <f>IFERROR(__xludf.DUMMYFUNCTION("""COMPUTED_VALUE"""),"Capybaras")</f>
        <v>Capybaras</v>
      </c>
      <c r="F18" s="64" t="str">
        <f>IFERROR(__xludf.DUMMYFUNCTION("""COMPUTED_VALUE"""),"Interstellar")</f>
        <v>Interstellar</v>
      </c>
      <c r="G18" s="64" t="str">
        <f>IFERROR(__xludf.DUMMYFUNCTION("""COMPUTED_VALUE"""),"Punks")</f>
        <v>Punks</v>
      </c>
      <c r="H18" s="65" t="str">
        <f>IFERROR(__xludf.DUMMYFUNCTION("""COMPUTED_VALUE"""),"Super Clusters")</f>
        <v>Super Clusters</v>
      </c>
      <c r="I18" s="66" t="str">
        <f>IFERROR(__xludf.DUMMYFUNCTION("""COMPUTED_VALUE"""),"Feta Forgers")</f>
        <v>Feta Forgers</v>
      </c>
      <c r="J18" s="66" t="str">
        <f>IFERROR(__xludf.DUMMYFUNCTION("""COMPUTED_VALUE"""),"Crooked Capos")</f>
        <v>Crooked Capos</v>
      </c>
      <c r="K18" s="59">
        <f>IFERROR(__xludf.DUMMYFUNCTION("""COMPUTED_VALUE"""),45938.0)</f>
        <v>45938</v>
      </c>
      <c r="L18" s="4"/>
    </row>
    <row r="19">
      <c r="A19" s="4"/>
      <c r="B19" s="55" t="str">
        <f>IFERROR(__xludf.DUMMYFUNCTION("""COMPUTED_VALUE"""),"Match Day 10")</f>
        <v>Match Day 10</v>
      </c>
      <c r="C19" s="64" t="str">
        <f>IFERROR(__xludf.DUMMYFUNCTION("""COMPUTED_VALUE"""),"Leviathans")</f>
        <v>Leviathans</v>
      </c>
      <c r="D19" s="64" t="str">
        <f>IFERROR(__xludf.DUMMYFUNCTION("""COMPUTED_VALUE"""),"Feta Forgers")</f>
        <v>Feta Forgers</v>
      </c>
      <c r="E19" s="64" t="str">
        <f>IFERROR(__xludf.DUMMYFUNCTION("""COMPUTED_VALUE"""),"Super Clusters")</f>
        <v>Super Clusters</v>
      </c>
      <c r="F19" s="64" t="str">
        <f>IFERROR(__xludf.DUMMYFUNCTION("""COMPUTED_VALUE"""),"Capybaras")</f>
        <v>Capybaras</v>
      </c>
      <c r="G19" s="64" t="str">
        <f>IFERROR(__xludf.DUMMYFUNCTION("""COMPUTED_VALUE"""),"Interstellar")</f>
        <v>Interstellar</v>
      </c>
      <c r="H19" s="65" t="str">
        <f>IFERROR(__xludf.DUMMYFUNCTION("""COMPUTED_VALUE"""),"Punks")</f>
        <v>Punks</v>
      </c>
      <c r="I19" s="66" t="str">
        <f>IFERROR(__xludf.DUMMYFUNCTION("""COMPUTED_VALUE"""),"Crooked Capos")</f>
        <v>Crooked Capos</v>
      </c>
      <c r="J19" s="66" t="str">
        <f>IFERROR(__xludf.DUMMYFUNCTION("""COMPUTED_VALUE"""),"Gummy Bears")</f>
        <v>Gummy Bears</v>
      </c>
      <c r="K19" s="59">
        <f>IFERROR(__xludf.DUMMYFUNCTION("""COMPUTED_VALUE"""),45945.0)</f>
        <v>45945</v>
      </c>
      <c r="L19" s="4"/>
    </row>
    <row r="20">
      <c r="A20" s="4"/>
      <c r="B20" s="55" t="str">
        <f>IFERROR(__xludf.DUMMYFUNCTION("""COMPUTED_VALUE"""),"Match Day 11")</f>
        <v>Match Day 11</v>
      </c>
      <c r="C20" s="64" t="str">
        <f>IFERROR(__xludf.DUMMYFUNCTION("""COMPUTED_VALUE"""),"Feta Forgers")</f>
        <v>Feta Forgers</v>
      </c>
      <c r="D20" s="64" t="str">
        <f>IFERROR(__xludf.DUMMYFUNCTION("""COMPUTED_VALUE"""),"Super Clusters")</f>
        <v>Super Clusters</v>
      </c>
      <c r="E20" s="64" t="str">
        <f>IFERROR(__xludf.DUMMYFUNCTION("""COMPUTED_VALUE"""),"Punks")</f>
        <v>Punks</v>
      </c>
      <c r="F20" s="64" t="str">
        <f>IFERROR(__xludf.DUMMYFUNCTION("""COMPUTED_VALUE"""),"Crooked Capos")</f>
        <v>Crooked Capos</v>
      </c>
      <c r="G20" s="64" t="str">
        <f>IFERROR(__xludf.DUMMYFUNCTION("""COMPUTED_VALUE"""),"Capybaras")</f>
        <v>Capybaras</v>
      </c>
      <c r="H20" s="65" t="str">
        <f>IFERROR(__xludf.DUMMYFUNCTION("""COMPUTED_VALUE"""),"Leviathans")</f>
        <v>Leviathans</v>
      </c>
      <c r="I20" s="66" t="str">
        <f>IFERROR(__xludf.DUMMYFUNCTION("""COMPUTED_VALUE"""),"Gummy Bears")</f>
        <v>Gummy Bears</v>
      </c>
      <c r="J20" s="66" t="str">
        <f>IFERROR(__xludf.DUMMYFUNCTION("""COMPUTED_VALUE"""),"Interstellar")</f>
        <v>Interstellar</v>
      </c>
      <c r="K20" s="59">
        <f>IFERROR(__xludf.DUMMYFUNCTION("""COMPUTED_VALUE"""),45950.0)</f>
        <v>45950</v>
      </c>
      <c r="L20" s="4"/>
    </row>
    <row r="21">
      <c r="A21" s="4"/>
      <c r="B21" s="68" t="str">
        <f>IFERROR(__xludf.DUMMYFUNCTION("""COMPUTED_VALUE"""),"Match Day 12")</f>
        <v>Match Day 12</v>
      </c>
      <c r="C21" s="64" t="str">
        <f>IFERROR(__xludf.DUMMYFUNCTION("""COMPUTED_VALUE"""),"Crooked Capos")</f>
        <v>Crooked Capos</v>
      </c>
      <c r="D21" s="64" t="str">
        <f>IFERROR(__xludf.DUMMYFUNCTION("""COMPUTED_VALUE"""),"Gummy Bears")</f>
        <v>Gummy Bears</v>
      </c>
      <c r="E21" s="64" t="str">
        <f>IFERROR(__xludf.DUMMYFUNCTION("""COMPUTED_VALUE"""),"Interstellar")</f>
        <v>Interstellar</v>
      </c>
      <c r="F21" s="64" t="str">
        <f>IFERROR(__xludf.DUMMYFUNCTION("""COMPUTED_VALUE"""),"Punks")</f>
        <v>Punks</v>
      </c>
      <c r="G21" s="64" t="str">
        <f>IFERROR(__xludf.DUMMYFUNCTION("""COMPUTED_VALUE"""),"Super Clusters")</f>
        <v>Super Clusters</v>
      </c>
      <c r="H21" s="65" t="str">
        <f>IFERROR(__xludf.DUMMYFUNCTION("""COMPUTED_VALUE"""),"Capybaras")</f>
        <v>Capybaras</v>
      </c>
      <c r="I21" s="66" t="str">
        <f>IFERROR(__xludf.DUMMYFUNCTION("""COMPUTED_VALUE"""),"Leviathans")</f>
        <v>Leviathans</v>
      </c>
      <c r="J21" s="66" t="str">
        <f>IFERROR(__xludf.DUMMYFUNCTION("""COMPUTED_VALUE"""),"Feta Forgers")</f>
        <v>Feta Forgers</v>
      </c>
      <c r="K21" s="59">
        <f>IFERROR(__xludf.DUMMYFUNCTION("""COMPUTED_VALUE"""),45952.0)</f>
        <v>45952</v>
      </c>
      <c r="L21" s="4"/>
    </row>
    <row r="22">
      <c r="A22" s="4"/>
      <c r="B22" s="68" t="str">
        <f>IFERROR(__xludf.DUMMYFUNCTION("""COMPUTED_VALUE"""),"Match Day 13")</f>
        <v>Match Day 13</v>
      </c>
      <c r="C22" s="64" t="str">
        <f>IFERROR(__xludf.DUMMYFUNCTION("""COMPUTED_VALUE"""),"Punks")</f>
        <v>Punks</v>
      </c>
      <c r="D22" s="64" t="str">
        <f>IFERROR(__xludf.DUMMYFUNCTION("""COMPUTED_VALUE"""),"Crooked Capos")</f>
        <v>Crooked Capos</v>
      </c>
      <c r="E22" s="64" t="str">
        <f>IFERROR(__xludf.DUMMYFUNCTION("""COMPUTED_VALUE"""),"Feta Forgers")</f>
        <v>Feta Forgers</v>
      </c>
      <c r="F22" s="64" t="str">
        <f>IFERROR(__xludf.DUMMYFUNCTION("""COMPUTED_VALUE"""),"Super Clusters")</f>
        <v>Super Clusters</v>
      </c>
      <c r="G22" s="64" t="str">
        <f>IFERROR(__xludf.DUMMYFUNCTION("""COMPUTED_VALUE"""),"Gummy Bears")</f>
        <v>Gummy Bears</v>
      </c>
      <c r="H22" s="65" t="str">
        <f>IFERROR(__xludf.DUMMYFUNCTION("""COMPUTED_VALUE"""),"Interstellar")</f>
        <v>Interstellar</v>
      </c>
      <c r="I22" s="66" t="str">
        <f>IFERROR(__xludf.DUMMYFUNCTION("""COMPUTED_VALUE"""),"Capybaras")</f>
        <v>Capybaras</v>
      </c>
      <c r="J22" s="66" t="str">
        <f>IFERROR(__xludf.DUMMYFUNCTION("""COMPUTED_VALUE"""),"Leviathans")</f>
        <v>Leviathans</v>
      </c>
      <c r="K22" s="59">
        <f>IFERROR(__xludf.DUMMYFUNCTION("""COMPUTED_VALUE"""),45957.0)</f>
        <v>45957</v>
      </c>
      <c r="L22" s="4"/>
    </row>
    <row r="23">
      <c r="A23" s="4"/>
      <c r="B23" s="55" t="str">
        <f>IFERROR(__xludf.DUMMYFUNCTION("""COMPUTED_VALUE"""),"Match Day 14")</f>
        <v>Match Day 14</v>
      </c>
      <c r="C23" s="64" t="str">
        <f>IFERROR(__xludf.DUMMYFUNCTION("""COMPUTED_VALUE"""),"Super Clusters")</f>
        <v>Super Clusters</v>
      </c>
      <c r="D23" s="64" t="str">
        <f>IFERROR(__xludf.DUMMYFUNCTION("""COMPUTED_VALUE"""),"Punks")</f>
        <v>Punks</v>
      </c>
      <c r="E23" s="64" t="str">
        <f>IFERROR(__xludf.DUMMYFUNCTION("""COMPUTED_VALUE"""),"Crooked Capos")</f>
        <v>Crooked Capos</v>
      </c>
      <c r="F23" s="64" t="str">
        <f>IFERROR(__xludf.DUMMYFUNCTION("""COMPUTED_VALUE"""),"Feta Forgers")</f>
        <v>Feta Forgers</v>
      </c>
      <c r="G23" s="64" t="str">
        <f>IFERROR(__xludf.DUMMYFUNCTION("""COMPUTED_VALUE"""),"Leviathans")</f>
        <v>Leviathans</v>
      </c>
      <c r="H23" s="65" t="str">
        <f>IFERROR(__xludf.DUMMYFUNCTION("""COMPUTED_VALUE"""),"Gummy Bears")</f>
        <v>Gummy Bears</v>
      </c>
      <c r="I23" s="66" t="str">
        <f>IFERROR(__xludf.DUMMYFUNCTION("""COMPUTED_VALUE"""),"Interstellar")</f>
        <v>Interstellar</v>
      </c>
      <c r="J23" s="66" t="str">
        <f>IFERROR(__xludf.DUMMYFUNCTION("""COMPUTED_VALUE"""),"Capybaras")</f>
        <v>Capybaras</v>
      </c>
      <c r="K23" s="59">
        <f>IFERROR(__xludf.DUMMYFUNCTION("""COMPUTED_VALUE"""),45959.0)</f>
        <v>45959</v>
      </c>
      <c r="L23" s="4"/>
    </row>
    <row r="24">
      <c r="A24" s="4"/>
      <c r="B24" s="55" t="str">
        <f>IFERROR(__xludf.DUMMYFUNCTION("""COMPUTED_VALUE"""),"Match Day 15")</f>
        <v>Match Day 15</v>
      </c>
      <c r="C24" s="69" t="str">
        <f>IFERROR(__xludf.DUMMYFUNCTION("""COMPUTED_VALUE"""),"Semifinals (10:00 PM ET)")</f>
        <v>Semifinals (10:00 PM ET)</v>
      </c>
      <c r="D24" s="70"/>
      <c r="E24" s="70"/>
      <c r="F24" s="70"/>
      <c r="G24" s="70"/>
      <c r="H24" s="70"/>
      <c r="I24" s="70"/>
      <c r="J24" s="71"/>
      <c r="K24" s="59">
        <f>IFERROR(__xludf.DUMMYFUNCTION("""COMPUTED_VALUE"""),45964.0)</f>
        <v>45964</v>
      </c>
      <c r="L24" s="4"/>
    </row>
    <row r="25">
      <c r="A25" s="4"/>
      <c r="B25" s="55" t="str">
        <f>IFERROR(__xludf.DUMMYFUNCTION("""COMPUTED_VALUE"""),"Match Day 16")</f>
        <v>Match Day 16</v>
      </c>
      <c r="C25" s="69" t="str">
        <f>IFERROR(__xludf.DUMMYFUNCTION("""COMPUTED_VALUE"""),"Finals (10:30 PM ET)")</f>
        <v>Finals (10:30 PM ET)</v>
      </c>
      <c r="D25" s="70"/>
      <c r="E25" s="70"/>
      <c r="F25" s="70"/>
      <c r="G25" s="70"/>
      <c r="H25" s="70"/>
      <c r="I25" s="70"/>
      <c r="J25" s="71"/>
      <c r="K25" s="59">
        <f>IFERROR(__xludf.DUMMYFUNCTION("""COMPUTED_VALUE"""),45966.0)</f>
        <v>45966</v>
      </c>
      <c r="L25" s="4"/>
    </row>
    <row r="26">
      <c r="A26" s="4"/>
      <c r="B26" s="4"/>
      <c r="C26" s="4"/>
      <c r="D26" s="4"/>
      <c r="E26" s="4"/>
      <c r="F26" s="4"/>
      <c r="G26" s="4"/>
      <c r="H26" s="72"/>
      <c r="I26" s="4"/>
      <c r="J26" s="4"/>
      <c r="K26" s="72"/>
      <c r="L26" s="4"/>
    </row>
  </sheetData>
  <mergeCells count="4">
    <mergeCell ref="C2:J2"/>
    <mergeCell ref="C4:J4"/>
    <mergeCell ref="C24:J24"/>
    <mergeCell ref="C25:J2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7CC3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4.0"/>
    <col customWidth="1" min="3" max="9" width="15.13"/>
    <col customWidth="1" min="10" max="10" width="3.88"/>
  </cols>
  <sheetData>
    <row r="1">
      <c r="A1" s="73" t="str">
        <f>IFERROR(__xludf.DUMMYFUNCTION("IMPORTRANGE(Imports!B1, ""Master!A:L"")"),"")</f>
        <v/>
      </c>
      <c r="B1" s="73"/>
      <c r="C1" s="73"/>
      <c r="D1" s="73"/>
      <c r="E1" s="73"/>
      <c r="F1" s="73"/>
      <c r="G1" s="73"/>
      <c r="H1" s="73"/>
      <c r="I1" s="73"/>
      <c r="J1" s="73"/>
    </row>
    <row r="2">
      <c r="A2" s="74" t="str">
        <f>IFERROR(__xludf.DUMMYFUNCTION("""COMPUTED_VALUE"""),"Master Schedule")</f>
        <v>Master Schedule</v>
      </c>
      <c r="J2" s="75"/>
    </row>
    <row r="3">
      <c r="A3" s="73"/>
      <c r="B3" s="48" t="str">
        <f>IFERROR(__xludf.DUMMYFUNCTION("""COMPUTED_VALUE"""),"Preseason")</f>
        <v>Preseason</v>
      </c>
      <c r="C3" s="76" t="str">
        <f>IFERROR(__xludf.DUMMYFUNCTION("""COMPUTED_VALUE"""),"Each team plays all opponents once, and an additional 3 random opponents")</f>
        <v>Each team plays all opponents once, and an additional 3 random opponents</v>
      </c>
      <c r="I3" s="77" t="str">
        <f>IFERROR(__xludf.DUMMYFUNCTION("""COMPUTED_VALUE"""),"Preseason")</f>
        <v>Preseason</v>
      </c>
      <c r="J3" s="73"/>
    </row>
    <row r="4">
      <c r="A4" s="73"/>
      <c r="B4" s="78" t="str">
        <f>IFERROR(__xludf.DUMMYFUNCTION("""COMPUTED_VALUE"""),"In Conference")</f>
        <v>In Conference</v>
      </c>
      <c r="C4" s="73"/>
      <c r="I4" s="78" t="str">
        <f>IFERROR(__xludf.DUMMYFUNCTION("""COMPUTED_VALUE"""),"In Conference")</f>
        <v>In Conference</v>
      </c>
      <c r="J4" s="73"/>
    </row>
    <row r="5">
      <c r="A5" s="73"/>
      <c r="B5" s="79" t="str">
        <f>IFERROR(__xludf.DUMMYFUNCTION("""COMPUTED_VALUE"""),"Out of Conference")</f>
        <v>Out of Conference</v>
      </c>
      <c r="I5" s="79" t="str">
        <f>IFERROR(__xludf.DUMMYFUNCTION("""COMPUTED_VALUE"""),"Out of Conference")</f>
        <v>Out of Conference</v>
      </c>
      <c r="J5" s="73"/>
    </row>
    <row r="6">
      <c r="A6" s="73"/>
      <c r="B6" s="80" t="str">
        <f>IFERROR(__xludf.DUMMYFUNCTION("""COMPUTED_VALUE"""),"Playoffs")</f>
        <v>Playoffs</v>
      </c>
      <c r="C6" s="81" t="str">
        <f>IFERROR(__xludf.DUMMYFUNCTION("""COMPUTED_VALUE"""),"Helicoprions")</f>
        <v>Helicoprions</v>
      </c>
      <c r="D6" s="81" t="str">
        <f>IFERROR(__xludf.DUMMYFUNCTION("""COMPUTED_VALUE"""),"Lemurs")</f>
        <v>Lemurs</v>
      </c>
      <c r="E6" s="81" t="str">
        <f>IFERROR(__xludf.DUMMYFUNCTION("""COMPUTED_VALUE"""),"Permafrost")</f>
        <v>Permafrost</v>
      </c>
      <c r="F6" s="81" t="str">
        <f>IFERROR(__xludf.DUMMYFUNCTION("""COMPUTED_VALUE"""),"Oblivion")</f>
        <v>Oblivion</v>
      </c>
      <c r="G6" s="81" t="str">
        <f>IFERROR(__xludf.DUMMYFUNCTION("""COMPUTED_VALUE"""),"Care Bears")</f>
        <v>Care Bears</v>
      </c>
      <c r="H6" s="81" t="str">
        <f>IFERROR(__xludf.DUMMYFUNCTION("""COMPUTED_VALUE"""),"Reapers")</f>
        <v>Reapers</v>
      </c>
      <c r="I6" s="80" t="str">
        <f>IFERROR(__xludf.DUMMYFUNCTION("""COMPUTED_VALUE"""),"Playoffs")</f>
        <v>Playoffs</v>
      </c>
      <c r="J6" s="73"/>
    </row>
    <row r="7">
      <c r="A7" s="73"/>
      <c r="B7" s="55" t="str">
        <f>IFERROR(__xludf.DUMMYFUNCTION("""COMPUTED_VALUE"""),"Preseason 1")</f>
        <v>Preseason 1</v>
      </c>
      <c r="C7" s="82" t="str">
        <f>IFERROR(__xludf.DUMMYFUNCTION("""COMPUTED_VALUE"""),"Oblivion")</f>
        <v>Oblivion</v>
      </c>
      <c r="D7" s="83" t="str">
        <f>IFERROR(__xludf.DUMMYFUNCTION("""COMPUTED_VALUE"""),"Care Bears")</f>
        <v>Care Bears</v>
      </c>
      <c r="E7" s="83" t="str">
        <f>IFERROR(__xludf.DUMMYFUNCTION("""COMPUTED_VALUE"""),"Reapers")</f>
        <v>Reapers</v>
      </c>
      <c r="F7" s="83" t="str">
        <f>IFERROR(__xludf.DUMMYFUNCTION("""COMPUTED_VALUE"""),"Helicoprions")</f>
        <v>Helicoprions</v>
      </c>
      <c r="G7" s="83" t="str">
        <f>IFERROR(__xludf.DUMMYFUNCTION("""COMPUTED_VALUE"""),"Lemurs")</f>
        <v>Lemurs</v>
      </c>
      <c r="H7" s="83" t="str">
        <f>IFERROR(__xludf.DUMMYFUNCTION("""COMPUTED_VALUE"""),"Permafrost")</f>
        <v>Permafrost</v>
      </c>
      <c r="I7" s="59">
        <f>IFERROR(__xludf.DUMMYFUNCTION("""COMPUTED_VALUE"""),45896.0)</f>
        <v>45896</v>
      </c>
      <c r="J7" s="84"/>
    </row>
    <row r="8">
      <c r="A8" s="73"/>
      <c r="B8" s="55" t="str">
        <f>IFERROR(__xludf.DUMMYFUNCTION("""COMPUTED_VALUE"""),"Preseason 2")</f>
        <v>Preseason 2</v>
      </c>
      <c r="C8" s="82" t="str">
        <f>IFERROR(__xludf.DUMMYFUNCTION("""COMPUTED_VALUE"""),"Spectres")</f>
        <v>Spectres</v>
      </c>
      <c r="D8" s="83" t="str">
        <f>IFERROR(__xludf.DUMMYFUNCTION("""COMPUTED_VALUE"""),"Fromunda Frauds")</f>
        <v>Fromunda Frauds</v>
      </c>
      <c r="E8" s="83" t="str">
        <f>IFERROR(__xludf.DUMMYFUNCTION("""COMPUTED_VALUE"""),"Kawaii")</f>
        <v>Kawaii</v>
      </c>
      <c r="F8" s="83" t="str">
        <f>IFERROR(__xludf.DUMMYFUNCTION("""COMPUTED_VALUE"""),"Battle Masters")</f>
        <v>Battle Masters</v>
      </c>
      <c r="G8" s="83" t="str">
        <f>IFERROR(__xludf.DUMMYFUNCTION("""COMPUTED_VALUE"""),"Andromeda")</f>
        <v>Andromeda</v>
      </c>
      <c r="H8" s="83" t="str">
        <f>IFERROR(__xludf.DUMMYFUNCTION("""COMPUTED_VALUE"""),"Heinous Henchmen")</f>
        <v>Heinous Henchmen</v>
      </c>
      <c r="I8" s="59">
        <f>IFERROR(__xludf.DUMMYFUNCTION("""COMPUTED_VALUE"""),45903.0)</f>
        <v>45903</v>
      </c>
      <c r="J8" s="84"/>
    </row>
    <row r="9">
      <c r="A9" s="73"/>
      <c r="B9" s="55" t="str">
        <f>IFERROR(__xludf.DUMMYFUNCTION("""COMPUTED_VALUE"""),"Preseason 3")</f>
        <v>Preseason 3</v>
      </c>
      <c r="C9" s="82" t="str">
        <f>IFERROR(__xludf.DUMMYFUNCTION("""COMPUTED_VALUE"""),"Reapers")</f>
        <v>Reapers</v>
      </c>
      <c r="D9" s="83" t="str">
        <f>IFERROR(__xludf.DUMMYFUNCTION("""COMPUTED_VALUE"""),"Permafrost")</f>
        <v>Permafrost</v>
      </c>
      <c r="E9" s="83" t="str">
        <f>IFERROR(__xludf.DUMMYFUNCTION("""COMPUTED_VALUE"""),"Lemurs")</f>
        <v>Lemurs</v>
      </c>
      <c r="F9" s="83" t="str">
        <f>IFERROR(__xludf.DUMMYFUNCTION("""COMPUTED_VALUE"""),"Care Bears")</f>
        <v>Care Bears</v>
      </c>
      <c r="G9" s="83" t="str">
        <f>IFERROR(__xludf.DUMMYFUNCTION("""COMPUTED_VALUE"""),"Oblivion")</f>
        <v>Oblivion</v>
      </c>
      <c r="H9" s="83" t="str">
        <f>IFERROR(__xludf.DUMMYFUNCTION("""COMPUTED_VALUE"""),"Helicoprions")</f>
        <v>Helicoprions</v>
      </c>
      <c r="I9" s="59">
        <f>IFERROR(__xludf.DUMMYFUNCTION("""COMPUTED_VALUE"""),45908.0)</f>
        <v>45908</v>
      </c>
      <c r="J9" s="84"/>
    </row>
    <row r="10">
      <c r="A10" s="73"/>
      <c r="B10" s="55" t="str">
        <f>IFERROR(__xludf.DUMMYFUNCTION("""COMPUTED_VALUE"""),"Match Day 1")</f>
        <v>Match Day 1</v>
      </c>
      <c r="C10" s="85" t="str">
        <f>IFERROR(__xludf.DUMMYFUNCTION("""COMPUTED_VALUE"""),"Andromeda")</f>
        <v>Andromeda</v>
      </c>
      <c r="D10" s="86" t="str">
        <f>IFERROR(__xludf.DUMMYFUNCTION("""COMPUTED_VALUE"""),"Kawaii")</f>
        <v>Kawaii</v>
      </c>
      <c r="E10" s="86" t="str">
        <f>IFERROR(__xludf.DUMMYFUNCTION("""COMPUTED_VALUE"""),"Battle Masters")</f>
        <v>Battle Masters</v>
      </c>
      <c r="F10" s="86" t="str">
        <f>IFERROR(__xludf.DUMMYFUNCTION("""COMPUTED_VALUE"""),"Heinous Henchmen")</f>
        <v>Heinous Henchmen</v>
      </c>
      <c r="G10" s="86" t="str">
        <f>IFERROR(__xludf.DUMMYFUNCTION("""COMPUTED_VALUE"""),"Fromunda Frauds")</f>
        <v>Fromunda Frauds</v>
      </c>
      <c r="H10" s="86" t="str">
        <f>IFERROR(__xludf.DUMMYFUNCTION("""COMPUTED_VALUE"""),"Spectres")</f>
        <v>Spectres</v>
      </c>
      <c r="I10" s="59">
        <f>IFERROR(__xludf.DUMMYFUNCTION("""COMPUTED_VALUE"""),45910.0)</f>
        <v>45910</v>
      </c>
      <c r="J10" s="84"/>
    </row>
    <row r="11">
      <c r="A11" s="73"/>
      <c r="B11" s="55" t="str">
        <f>IFERROR(__xludf.DUMMYFUNCTION("""COMPUTED_VALUE"""),"Match Day 2")</f>
        <v>Match Day 2</v>
      </c>
      <c r="C11" s="87" t="str">
        <f>IFERROR(__xludf.DUMMYFUNCTION("""COMPUTED_VALUE"""),"Battle Masters")</f>
        <v>Battle Masters</v>
      </c>
      <c r="D11" s="88" t="str">
        <f>IFERROR(__xludf.DUMMYFUNCTION("""COMPUTED_VALUE"""),"Spectres")</f>
        <v>Spectres</v>
      </c>
      <c r="E11" s="88" t="str">
        <f>IFERROR(__xludf.DUMMYFUNCTION("""COMPUTED_VALUE"""),"Heinous Henchmen")</f>
        <v>Heinous Henchmen</v>
      </c>
      <c r="F11" s="88" t="str">
        <f>IFERROR(__xludf.DUMMYFUNCTION("""COMPUTED_VALUE"""),"Andromeda")</f>
        <v>Andromeda</v>
      </c>
      <c r="G11" s="88" t="str">
        <f>IFERROR(__xludf.DUMMYFUNCTION("""COMPUTED_VALUE"""),"Kawaii")</f>
        <v>Kawaii</v>
      </c>
      <c r="H11" s="88" t="str">
        <f>IFERROR(__xludf.DUMMYFUNCTION("""COMPUTED_VALUE"""),"Fromunda Frauds")</f>
        <v>Fromunda Frauds</v>
      </c>
      <c r="I11" s="59">
        <f>IFERROR(__xludf.DUMMYFUNCTION("""COMPUTED_VALUE"""),45915.0)</f>
        <v>45915</v>
      </c>
      <c r="J11" s="73"/>
    </row>
    <row r="12">
      <c r="A12" s="73"/>
      <c r="B12" s="55" t="str">
        <f>IFERROR(__xludf.DUMMYFUNCTION("""COMPUTED_VALUE"""),"Match Day 3")</f>
        <v>Match Day 3</v>
      </c>
      <c r="C12" s="87" t="str">
        <f>IFERROR(__xludf.DUMMYFUNCTION("""COMPUTED_VALUE"""),"Permafrost")</f>
        <v>Permafrost</v>
      </c>
      <c r="D12" s="88" t="str">
        <f>IFERROR(__xludf.DUMMYFUNCTION("""COMPUTED_VALUE"""),"Oblivion")</f>
        <v>Oblivion</v>
      </c>
      <c r="E12" s="88" t="str">
        <f>IFERROR(__xludf.DUMMYFUNCTION("""COMPUTED_VALUE"""),"Helicoprions")</f>
        <v>Helicoprions</v>
      </c>
      <c r="F12" s="88" t="str">
        <f>IFERROR(__xludf.DUMMYFUNCTION("""COMPUTED_VALUE"""),"Lemurs")</f>
        <v>Lemurs</v>
      </c>
      <c r="G12" s="88" t="str">
        <f>IFERROR(__xludf.DUMMYFUNCTION("""COMPUTED_VALUE"""),"Reapers")</f>
        <v>Reapers</v>
      </c>
      <c r="H12" s="88" t="str">
        <f>IFERROR(__xludf.DUMMYFUNCTION("""COMPUTED_VALUE"""),"Care Bears")</f>
        <v>Care Bears</v>
      </c>
      <c r="I12" s="59">
        <f>IFERROR(__xludf.DUMMYFUNCTION("""COMPUTED_VALUE"""),45917.0)</f>
        <v>45917</v>
      </c>
      <c r="J12" s="73"/>
    </row>
    <row r="13">
      <c r="A13" s="73"/>
      <c r="B13" s="55" t="str">
        <f>IFERROR(__xludf.DUMMYFUNCTION("""COMPUTED_VALUE"""),"Match Day 4")</f>
        <v>Match Day 4</v>
      </c>
      <c r="C13" s="87" t="str">
        <f>IFERROR(__xludf.DUMMYFUNCTION("""COMPUTED_VALUE"""),"Care Bears")</f>
        <v>Care Bears</v>
      </c>
      <c r="D13" s="88" t="str">
        <f>IFERROR(__xludf.DUMMYFUNCTION("""COMPUTED_VALUE"""),"Reapers")</f>
        <v>Reapers</v>
      </c>
      <c r="E13" s="88" t="str">
        <f>IFERROR(__xludf.DUMMYFUNCTION("""COMPUTED_VALUE"""),"Oblivion")</f>
        <v>Oblivion</v>
      </c>
      <c r="F13" s="88" t="str">
        <f>IFERROR(__xludf.DUMMYFUNCTION("""COMPUTED_VALUE"""),"Permafrost")</f>
        <v>Permafrost</v>
      </c>
      <c r="G13" s="88" t="str">
        <f>IFERROR(__xludf.DUMMYFUNCTION("""COMPUTED_VALUE"""),"Helicoprions")</f>
        <v>Helicoprions</v>
      </c>
      <c r="H13" s="88" t="str">
        <f>IFERROR(__xludf.DUMMYFUNCTION("""COMPUTED_VALUE"""),"Lemurs")</f>
        <v>Lemurs</v>
      </c>
      <c r="I13" s="59">
        <f>IFERROR(__xludf.DUMMYFUNCTION("""COMPUTED_VALUE"""),45922.0)</f>
        <v>45922</v>
      </c>
      <c r="J13" s="73"/>
    </row>
    <row r="14">
      <c r="A14" s="73"/>
      <c r="B14" s="55" t="str">
        <f>IFERROR(__xludf.DUMMYFUNCTION("""COMPUTED_VALUE"""),"Match Day 5")</f>
        <v>Match Day 5</v>
      </c>
      <c r="C14" s="87" t="str">
        <f>IFERROR(__xludf.DUMMYFUNCTION("""COMPUTED_VALUE"""),"Fromunda Frauds")</f>
        <v>Fromunda Frauds</v>
      </c>
      <c r="D14" s="88" t="str">
        <f>IFERROR(__xludf.DUMMYFUNCTION("""COMPUTED_VALUE"""),"Battle Masters")</f>
        <v>Battle Masters</v>
      </c>
      <c r="E14" s="88" t="str">
        <f>IFERROR(__xludf.DUMMYFUNCTION("""COMPUTED_VALUE"""),"Andromeda")</f>
        <v>Andromeda</v>
      </c>
      <c r="F14" s="88" t="str">
        <f>IFERROR(__xludf.DUMMYFUNCTION("""COMPUTED_VALUE"""),"Spectres")</f>
        <v>Spectres</v>
      </c>
      <c r="G14" s="88" t="str">
        <f>IFERROR(__xludf.DUMMYFUNCTION("""COMPUTED_VALUE"""),"Heinous Henchmen")</f>
        <v>Heinous Henchmen</v>
      </c>
      <c r="H14" s="88" t="str">
        <f>IFERROR(__xludf.DUMMYFUNCTION("""COMPUTED_VALUE"""),"Kawaii")</f>
        <v>Kawaii</v>
      </c>
      <c r="I14" s="59">
        <f>IFERROR(__xludf.DUMMYFUNCTION("""COMPUTED_VALUE"""),45924.0)</f>
        <v>45924</v>
      </c>
      <c r="J14" s="73"/>
    </row>
    <row r="15">
      <c r="A15" s="73"/>
      <c r="B15" s="55" t="str">
        <f>IFERROR(__xludf.DUMMYFUNCTION("""COMPUTED_VALUE"""),"Match Day 6")</f>
        <v>Match Day 6</v>
      </c>
      <c r="C15" s="87" t="str">
        <f>IFERROR(__xludf.DUMMYFUNCTION("""COMPUTED_VALUE"""),"Spectres")</f>
        <v>Spectres</v>
      </c>
      <c r="D15" s="88" t="str">
        <f>IFERROR(__xludf.DUMMYFUNCTION("""COMPUTED_VALUE"""),"Fromunda Frauds")</f>
        <v>Fromunda Frauds</v>
      </c>
      <c r="E15" s="88" t="str">
        <f>IFERROR(__xludf.DUMMYFUNCTION("""COMPUTED_VALUE"""),"Kawaii")</f>
        <v>Kawaii</v>
      </c>
      <c r="F15" s="88" t="str">
        <f>IFERROR(__xludf.DUMMYFUNCTION("""COMPUTED_VALUE"""),"Battle Masters")</f>
        <v>Battle Masters</v>
      </c>
      <c r="G15" s="88" t="str">
        <f>IFERROR(__xludf.DUMMYFUNCTION("""COMPUTED_VALUE"""),"Andromeda")</f>
        <v>Andromeda</v>
      </c>
      <c r="H15" s="88" t="str">
        <f>IFERROR(__xludf.DUMMYFUNCTION("""COMPUTED_VALUE"""),"Heinous Henchmen")</f>
        <v>Heinous Henchmen</v>
      </c>
      <c r="I15" s="59">
        <f>IFERROR(__xludf.DUMMYFUNCTION("""COMPUTED_VALUE"""),45929.0)</f>
        <v>45929</v>
      </c>
      <c r="J15" s="73"/>
    </row>
    <row r="16">
      <c r="A16" s="73"/>
      <c r="B16" s="55" t="str">
        <f>IFERROR(__xludf.DUMMYFUNCTION("""COMPUTED_VALUE"""),"Match Day 7")</f>
        <v>Match Day 7</v>
      </c>
      <c r="C16" s="87" t="str">
        <f>IFERROR(__xludf.DUMMYFUNCTION("""COMPUTED_VALUE"""),"Lemurs")</f>
        <v>Lemurs</v>
      </c>
      <c r="D16" s="88" t="str">
        <f>IFERROR(__xludf.DUMMYFUNCTION("""COMPUTED_VALUE"""),"Helicoprions")</f>
        <v>Helicoprions</v>
      </c>
      <c r="E16" s="88" t="str">
        <f>IFERROR(__xludf.DUMMYFUNCTION("""COMPUTED_VALUE"""),"Care Bears")</f>
        <v>Care Bears</v>
      </c>
      <c r="F16" s="88" t="str">
        <f>IFERROR(__xludf.DUMMYFUNCTION("""COMPUTED_VALUE"""),"Reapers")</f>
        <v>Reapers</v>
      </c>
      <c r="G16" s="88" t="str">
        <f>IFERROR(__xludf.DUMMYFUNCTION("""COMPUTED_VALUE"""),"Permafrost")</f>
        <v>Permafrost</v>
      </c>
      <c r="H16" s="88" t="str">
        <f>IFERROR(__xludf.DUMMYFUNCTION("""COMPUTED_VALUE"""),"Oblivion")</f>
        <v>Oblivion</v>
      </c>
      <c r="I16" s="59">
        <f>IFERROR(__xludf.DUMMYFUNCTION("""COMPUTED_VALUE"""),45931.0)</f>
        <v>45931</v>
      </c>
      <c r="J16" s="73"/>
    </row>
    <row r="17">
      <c r="A17" s="73"/>
      <c r="B17" s="55" t="str">
        <f>IFERROR(__xludf.DUMMYFUNCTION("""COMPUTED_VALUE"""),"Match Day 8")</f>
        <v>Match Day 8</v>
      </c>
      <c r="C17" s="87" t="str">
        <f>IFERROR(__xludf.DUMMYFUNCTION("""COMPUTED_VALUE"""),"Oblivion")</f>
        <v>Oblivion</v>
      </c>
      <c r="D17" s="88" t="str">
        <f>IFERROR(__xludf.DUMMYFUNCTION("""COMPUTED_VALUE"""),"Care Bears")</f>
        <v>Care Bears</v>
      </c>
      <c r="E17" s="88" t="str">
        <f>IFERROR(__xludf.DUMMYFUNCTION("""COMPUTED_VALUE"""),"Reapers")</f>
        <v>Reapers</v>
      </c>
      <c r="F17" s="88" t="str">
        <f>IFERROR(__xludf.DUMMYFUNCTION("""COMPUTED_VALUE"""),"Helicoprions")</f>
        <v>Helicoprions</v>
      </c>
      <c r="G17" s="88" t="str">
        <f>IFERROR(__xludf.DUMMYFUNCTION("""COMPUTED_VALUE"""),"Lemurs")</f>
        <v>Lemurs</v>
      </c>
      <c r="H17" s="88" t="str">
        <f>IFERROR(__xludf.DUMMYFUNCTION("""COMPUTED_VALUE"""),"Permafrost")</f>
        <v>Permafrost</v>
      </c>
      <c r="I17" s="59">
        <f>IFERROR(__xludf.DUMMYFUNCTION("""COMPUTED_VALUE"""),45936.0)</f>
        <v>45936</v>
      </c>
      <c r="J17" s="73"/>
    </row>
    <row r="18">
      <c r="A18" s="73"/>
      <c r="B18" s="67" t="str">
        <f>IFERROR(__xludf.DUMMYFUNCTION("""COMPUTED_VALUE"""),"Match Day 9")</f>
        <v>Match Day 9</v>
      </c>
      <c r="C18" s="87" t="str">
        <f>IFERROR(__xludf.DUMMYFUNCTION("""COMPUTED_VALUE"""),"Reapers")</f>
        <v>Reapers</v>
      </c>
      <c r="D18" s="88" t="str">
        <f>IFERROR(__xludf.DUMMYFUNCTION("""COMPUTED_VALUE"""),"Permafrost")</f>
        <v>Permafrost</v>
      </c>
      <c r="E18" s="88" t="str">
        <f>IFERROR(__xludf.DUMMYFUNCTION("""COMPUTED_VALUE"""),"Lemurs")</f>
        <v>Lemurs</v>
      </c>
      <c r="F18" s="88" t="str">
        <f>IFERROR(__xludf.DUMMYFUNCTION("""COMPUTED_VALUE"""),"Care Bears")</f>
        <v>Care Bears</v>
      </c>
      <c r="G18" s="88" t="str">
        <f>IFERROR(__xludf.DUMMYFUNCTION("""COMPUTED_VALUE"""),"Oblivion")</f>
        <v>Oblivion</v>
      </c>
      <c r="H18" s="88" t="str">
        <f>IFERROR(__xludf.DUMMYFUNCTION("""COMPUTED_VALUE"""),"Helicoprions")</f>
        <v>Helicoprions</v>
      </c>
      <c r="I18" s="59">
        <f>IFERROR(__xludf.DUMMYFUNCTION("""COMPUTED_VALUE"""),45938.0)</f>
        <v>45938</v>
      </c>
      <c r="J18" s="73"/>
    </row>
    <row r="19">
      <c r="A19" s="73"/>
      <c r="B19" s="55" t="str">
        <f>IFERROR(__xludf.DUMMYFUNCTION("""COMPUTED_VALUE"""),"Match Day 10")</f>
        <v>Match Day 10</v>
      </c>
      <c r="C19" s="87" t="str">
        <f>IFERROR(__xludf.DUMMYFUNCTION("""COMPUTED_VALUE"""),"Heinous Henchmen")</f>
        <v>Heinous Henchmen</v>
      </c>
      <c r="D19" s="88" t="str">
        <f>IFERROR(__xludf.DUMMYFUNCTION("""COMPUTED_VALUE"""),"Andromeda")</f>
        <v>Andromeda</v>
      </c>
      <c r="E19" s="88" t="str">
        <f>IFERROR(__xludf.DUMMYFUNCTION("""COMPUTED_VALUE"""),"Fromunda Frauds")</f>
        <v>Fromunda Frauds</v>
      </c>
      <c r="F19" s="88" t="str">
        <f>IFERROR(__xludf.DUMMYFUNCTION("""COMPUTED_VALUE"""),"Kawaii")</f>
        <v>Kawaii</v>
      </c>
      <c r="G19" s="88" t="str">
        <f>IFERROR(__xludf.DUMMYFUNCTION("""COMPUTED_VALUE"""),"Spectres")</f>
        <v>Spectres</v>
      </c>
      <c r="H19" s="88" t="str">
        <f>IFERROR(__xludf.DUMMYFUNCTION("""COMPUTED_VALUE"""),"Battle Masters")</f>
        <v>Battle Masters</v>
      </c>
      <c r="I19" s="59">
        <f>IFERROR(__xludf.DUMMYFUNCTION("""COMPUTED_VALUE"""),45945.0)</f>
        <v>45945</v>
      </c>
      <c r="J19" s="73"/>
    </row>
    <row r="20">
      <c r="A20" s="73"/>
      <c r="B20" s="55" t="str">
        <f>IFERROR(__xludf.DUMMYFUNCTION("""COMPUTED_VALUE"""),"Match Day 11")</f>
        <v>Match Day 11</v>
      </c>
      <c r="C20" s="87" t="str">
        <f>IFERROR(__xludf.DUMMYFUNCTION("""COMPUTED_VALUE"""),"Kawaii")</f>
        <v>Kawaii</v>
      </c>
      <c r="D20" s="88" t="str">
        <f>IFERROR(__xludf.DUMMYFUNCTION("""COMPUTED_VALUE"""),"Heinous Henchmen")</f>
        <v>Heinous Henchmen</v>
      </c>
      <c r="E20" s="88" t="str">
        <f>IFERROR(__xludf.DUMMYFUNCTION("""COMPUTED_VALUE"""),"Spectres")</f>
        <v>Spectres</v>
      </c>
      <c r="F20" s="88" t="str">
        <f>IFERROR(__xludf.DUMMYFUNCTION("""COMPUTED_VALUE"""),"Fromunda Frauds")</f>
        <v>Fromunda Frauds</v>
      </c>
      <c r="G20" s="88" t="str">
        <f>IFERROR(__xludf.DUMMYFUNCTION("""COMPUTED_VALUE"""),"Battle Masters")</f>
        <v>Battle Masters</v>
      </c>
      <c r="H20" s="88" t="str">
        <f>IFERROR(__xludf.DUMMYFUNCTION("""COMPUTED_VALUE"""),"Andromeda")</f>
        <v>Andromeda</v>
      </c>
      <c r="I20" s="59">
        <f>IFERROR(__xludf.DUMMYFUNCTION("""COMPUTED_VALUE"""),45950.0)</f>
        <v>45950</v>
      </c>
      <c r="J20" s="73"/>
    </row>
    <row r="21">
      <c r="A21" s="73"/>
      <c r="B21" s="68" t="str">
        <f>IFERROR(__xludf.DUMMYFUNCTION("""COMPUTED_VALUE"""),"Match Day 12")</f>
        <v>Match Day 12</v>
      </c>
      <c r="C21" s="87" t="str">
        <f>IFERROR(__xludf.DUMMYFUNCTION("""COMPUTED_VALUE"""),"Permafrost")</f>
        <v>Permafrost</v>
      </c>
      <c r="D21" s="88" t="str">
        <f>IFERROR(__xludf.DUMMYFUNCTION("""COMPUTED_VALUE"""),"Oblivion")</f>
        <v>Oblivion</v>
      </c>
      <c r="E21" s="88" t="str">
        <f>IFERROR(__xludf.DUMMYFUNCTION("""COMPUTED_VALUE"""),"Helicoprions")</f>
        <v>Helicoprions</v>
      </c>
      <c r="F21" s="88" t="str">
        <f>IFERROR(__xludf.DUMMYFUNCTION("""COMPUTED_VALUE"""),"Lemurs")</f>
        <v>Lemurs</v>
      </c>
      <c r="G21" s="88" t="str">
        <f>IFERROR(__xludf.DUMMYFUNCTION("""COMPUTED_VALUE"""),"Reapers")</f>
        <v>Reapers</v>
      </c>
      <c r="H21" s="88" t="str">
        <f>IFERROR(__xludf.DUMMYFUNCTION("""COMPUTED_VALUE"""),"Care Bears")</f>
        <v>Care Bears</v>
      </c>
      <c r="I21" s="59">
        <f>IFERROR(__xludf.DUMMYFUNCTION("""COMPUTED_VALUE"""),45952.0)</f>
        <v>45952</v>
      </c>
      <c r="J21" s="73"/>
    </row>
    <row r="22">
      <c r="A22" s="73"/>
      <c r="B22" s="68" t="str">
        <f>IFERROR(__xludf.DUMMYFUNCTION("""COMPUTED_VALUE"""),"Match Day 13")</f>
        <v>Match Day 13</v>
      </c>
      <c r="C22" s="87" t="str">
        <f>IFERROR(__xludf.DUMMYFUNCTION("""COMPUTED_VALUE"""),"Spectres")</f>
        <v>Spectres</v>
      </c>
      <c r="D22" s="88" t="str">
        <f>IFERROR(__xludf.DUMMYFUNCTION("""COMPUTED_VALUE"""),"Fromunda Frauds")</f>
        <v>Fromunda Frauds</v>
      </c>
      <c r="E22" s="88" t="str">
        <f>IFERROR(__xludf.DUMMYFUNCTION("""COMPUTED_VALUE"""),"Kawaii")</f>
        <v>Kawaii</v>
      </c>
      <c r="F22" s="88" t="str">
        <f>IFERROR(__xludf.DUMMYFUNCTION("""COMPUTED_VALUE"""),"Battle Masters")</f>
        <v>Battle Masters</v>
      </c>
      <c r="G22" s="88" t="str">
        <f>IFERROR(__xludf.DUMMYFUNCTION("""COMPUTED_VALUE"""),"Andromeda")</f>
        <v>Andromeda</v>
      </c>
      <c r="H22" s="88" t="str">
        <f>IFERROR(__xludf.DUMMYFUNCTION("""COMPUTED_VALUE"""),"Heinous Henchmen")</f>
        <v>Heinous Henchmen</v>
      </c>
      <c r="I22" s="59">
        <f>IFERROR(__xludf.DUMMYFUNCTION("""COMPUTED_VALUE"""),45957.0)</f>
        <v>45957</v>
      </c>
      <c r="J22" s="73"/>
    </row>
    <row r="23">
      <c r="A23" s="73"/>
      <c r="B23" s="55" t="str">
        <f>IFERROR(__xludf.DUMMYFUNCTION("""COMPUTED_VALUE"""),"Match Day 14")</f>
        <v>Match Day 14</v>
      </c>
      <c r="C23" s="87" t="str">
        <f>IFERROR(__xludf.DUMMYFUNCTION("""COMPUTED_VALUE"""),"Reapers")</f>
        <v>Reapers</v>
      </c>
      <c r="D23" s="88" t="str">
        <f>IFERROR(__xludf.DUMMYFUNCTION("""COMPUTED_VALUE"""),"Permafrost")</f>
        <v>Permafrost</v>
      </c>
      <c r="E23" s="88" t="str">
        <f>IFERROR(__xludf.DUMMYFUNCTION("""COMPUTED_VALUE"""),"Lemurs")</f>
        <v>Lemurs</v>
      </c>
      <c r="F23" s="88" t="str">
        <f>IFERROR(__xludf.DUMMYFUNCTION("""COMPUTED_VALUE"""),"Care Bears")</f>
        <v>Care Bears</v>
      </c>
      <c r="G23" s="88" t="str">
        <f>IFERROR(__xludf.DUMMYFUNCTION("""COMPUTED_VALUE"""),"Oblivion")</f>
        <v>Oblivion</v>
      </c>
      <c r="H23" s="88" t="str">
        <f>IFERROR(__xludf.DUMMYFUNCTION("""COMPUTED_VALUE"""),"Helicoprions")</f>
        <v>Helicoprions</v>
      </c>
      <c r="I23" s="59">
        <f>IFERROR(__xludf.DUMMYFUNCTION("""COMPUTED_VALUE"""),45959.0)</f>
        <v>45959</v>
      </c>
      <c r="J23" s="73"/>
    </row>
    <row r="24">
      <c r="A24" s="73"/>
      <c r="B24" s="55" t="str">
        <f>IFERROR(__xludf.DUMMYFUNCTION("""COMPUTED_VALUE"""),"Match Day 15")</f>
        <v>Match Day 15</v>
      </c>
      <c r="C24" s="89" t="str">
        <f>IFERROR(__xludf.DUMMYFUNCTION("""COMPUTED_VALUE"""),"Quarterfinals (10:00 PM ET)")</f>
        <v>Quarterfinals (10:00 PM ET)</v>
      </c>
      <c r="D24" s="27"/>
      <c r="E24" s="27"/>
      <c r="F24" s="27"/>
      <c r="G24" s="27"/>
      <c r="H24" s="90"/>
      <c r="I24" s="59">
        <f>IFERROR(__xludf.DUMMYFUNCTION("""COMPUTED_VALUE"""),45964.0)</f>
        <v>45964</v>
      </c>
      <c r="J24" s="73"/>
    </row>
    <row r="25">
      <c r="A25" s="73"/>
      <c r="B25" s="55" t="str">
        <f>IFERROR(__xludf.DUMMYFUNCTION("""COMPUTED_VALUE"""),"Match Day 16")</f>
        <v>Match Day 16</v>
      </c>
      <c r="C25" s="89" t="str">
        <f>IFERROR(__xludf.DUMMYFUNCTION("""COMPUTED_VALUE"""),"Semifinals (10:00 PM ET)")</f>
        <v>Semifinals (10:00 PM ET)</v>
      </c>
      <c r="D25" s="27"/>
      <c r="E25" s="27"/>
      <c r="F25" s="27"/>
      <c r="G25" s="27"/>
      <c r="H25" s="90"/>
      <c r="I25" s="59">
        <f>IFERROR(__xludf.DUMMYFUNCTION("""COMPUTED_VALUE"""),45966.0)</f>
        <v>45966</v>
      </c>
      <c r="J25" s="73"/>
    </row>
    <row r="26">
      <c r="A26" s="73"/>
      <c r="B26" s="55" t="str">
        <f>IFERROR(__xludf.DUMMYFUNCTION("""COMPUTED_VALUE"""),"Match Day 17")</f>
        <v>Match Day 17</v>
      </c>
      <c r="C26" s="91" t="str">
        <f>IFERROR(__xludf.DUMMYFUNCTION("""COMPUTED_VALUE"""),"Finals (10:30PM ET)")</f>
        <v>Finals (10:30PM ET)</v>
      </c>
      <c r="D26" s="19"/>
      <c r="E26" s="19"/>
      <c r="F26" s="19"/>
      <c r="G26" s="19"/>
      <c r="H26" s="92"/>
      <c r="I26" s="59">
        <f>IFERROR(__xludf.DUMMYFUNCTION("""COMPUTED_VALUE"""),45971.0)</f>
        <v>45971</v>
      </c>
      <c r="J26" s="73"/>
    </row>
    <row r="27">
      <c r="A27" s="73"/>
      <c r="B27" s="73"/>
      <c r="C27" s="73"/>
      <c r="D27" s="73"/>
      <c r="E27" s="73"/>
      <c r="F27" s="73"/>
      <c r="G27" s="73"/>
      <c r="H27" s="73"/>
      <c r="I27" s="73"/>
      <c r="J27" s="73"/>
    </row>
    <row r="28">
      <c r="A28" s="73"/>
      <c r="B28" s="48" t="str">
        <f>IFERROR(__xludf.DUMMYFUNCTION("""COMPUTED_VALUE"""),"Preseason")</f>
        <v>Preseason</v>
      </c>
      <c r="C28" s="73"/>
      <c r="D28" s="73"/>
      <c r="E28" s="73"/>
      <c r="F28" s="73"/>
      <c r="G28" s="73"/>
      <c r="H28" s="73"/>
      <c r="I28" s="77" t="str">
        <f>IFERROR(__xludf.DUMMYFUNCTION("""COMPUTED_VALUE"""),"Preseason")</f>
        <v>Preseason</v>
      </c>
      <c r="J28" s="73"/>
    </row>
    <row r="29">
      <c r="A29" s="73"/>
      <c r="B29" s="78" t="str">
        <f>IFERROR(__xludf.DUMMYFUNCTION("""COMPUTED_VALUE"""),"In Conference")</f>
        <v>In Conference</v>
      </c>
      <c r="C29" s="73"/>
      <c r="I29" s="78" t="str">
        <f>IFERROR(__xludf.DUMMYFUNCTION("""COMPUTED_VALUE"""),"In Conference")</f>
        <v>In Conference</v>
      </c>
      <c r="J29" s="73"/>
    </row>
    <row r="30">
      <c r="A30" s="73"/>
      <c r="B30" s="79" t="str">
        <f>IFERROR(__xludf.DUMMYFUNCTION("""COMPUTED_VALUE"""),"Out of Conference")</f>
        <v>Out of Conference</v>
      </c>
      <c r="I30" s="79" t="str">
        <f>IFERROR(__xludf.DUMMYFUNCTION("""COMPUTED_VALUE"""),"Out of Conference")</f>
        <v>Out of Conference</v>
      </c>
      <c r="J30" s="73"/>
    </row>
    <row r="31">
      <c r="A31" s="73"/>
      <c r="B31" s="80" t="str">
        <f>IFERROR(__xludf.DUMMYFUNCTION("""COMPUTED_VALUE"""),"Playoffs")</f>
        <v>Playoffs</v>
      </c>
      <c r="C31" s="81" t="str">
        <f>IFERROR(__xludf.DUMMYFUNCTION("""COMPUTED_VALUE"""),"Spectres")</f>
        <v>Spectres</v>
      </c>
      <c r="D31" s="81" t="str">
        <f>IFERROR(__xludf.DUMMYFUNCTION("""COMPUTED_VALUE"""),"Fromunda Frauds")</f>
        <v>Fromunda Frauds</v>
      </c>
      <c r="E31" s="81" t="str">
        <f>IFERROR(__xludf.DUMMYFUNCTION("""COMPUTED_VALUE"""),"Heinous Henchmen")</f>
        <v>Heinous Henchmen</v>
      </c>
      <c r="F31" s="81" t="str">
        <f>IFERROR(__xludf.DUMMYFUNCTION("""COMPUTED_VALUE"""),"Battle Masters")</f>
        <v>Battle Masters</v>
      </c>
      <c r="G31" s="81" t="str">
        <f>IFERROR(__xludf.DUMMYFUNCTION("""COMPUTED_VALUE"""),"Kawaii")</f>
        <v>Kawaii</v>
      </c>
      <c r="H31" s="81" t="str">
        <f>IFERROR(__xludf.DUMMYFUNCTION("""COMPUTED_VALUE"""),"Andromeda")</f>
        <v>Andromeda</v>
      </c>
      <c r="I31" s="80" t="str">
        <f>IFERROR(__xludf.DUMMYFUNCTION("""COMPUTED_VALUE"""),"Playoffs")</f>
        <v>Playoffs</v>
      </c>
      <c r="J31" s="73"/>
    </row>
    <row r="32">
      <c r="A32" s="73"/>
      <c r="B32" s="55" t="str">
        <f>IFERROR(__xludf.DUMMYFUNCTION("""COMPUTED_VALUE"""),"Preseason 1")</f>
        <v>Preseason 1</v>
      </c>
      <c r="C32" s="82" t="str">
        <f>IFERROR(__xludf.DUMMYFUNCTION("""COMPUTED_VALUE"""),"Battle Masters")</f>
        <v>Battle Masters</v>
      </c>
      <c r="D32" s="83" t="str">
        <f>IFERROR(__xludf.DUMMYFUNCTION("""COMPUTED_VALUE"""),"Kawaii")</f>
        <v>Kawaii</v>
      </c>
      <c r="E32" s="83" t="str">
        <f>IFERROR(__xludf.DUMMYFUNCTION("""COMPUTED_VALUE"""),"Andromeda")</f>
        <v>Andromeda</v>
      </c>
      <c r="F32" s="83" t="str">
        <f>IFERROR(__xludf.DUMMYFUNCTION("""COMPUTED_VALUE"""),"Spectres")</f>
        <v>Spectres</v>
      </c>
      <c r="G32" s="83" t="str">
        <f>IFERROR(__xludf.DUMMYFUNCTION("""COMPUTED_VALUE"""),"Fromunda Frauds")</f>
        <v>Fromunda Frauds</v>
      </c>
      <c r="H32" s="83" t="str">
        <f>IFERROR(__xludf.DUMMYFUNCTION("""COMPUTED_VALUE"""),"Heinous Henchmen")</f>
        <v>Heinous Henchmen</v>
      </c>
      <c r="I32" s="59">
        <f>IFERROR(__xludf.DUMMYFUNCTION("""COMPUTED_VALUE"""),45896.0)</f>
        <v>45896</v>
      </c>
      <c r="J32" s="84"/>
    </row>
    <row r="33">
      <c r="A33" s="73"/>
      <c r="B33" s="55" t="str">
        <f>IFERROR(__xludf.DUMMYFUNCTION("""COMPUTED_VALUE"""),"Preseason 2")</f>
        <v>Preseason 2</v>
      </c>
      <c r="C33" s="82" t="str">
        <f>IFERROR(__xludf.DUMMYFUNCTION("""COMPUTED_VALUE"""),"Helicoprions")</f>
        <v>Helicoprions</v>
      </c>
      <c r="D33" s="83" t="str">
        <f>IFERROR(__xludf.DUMMYFUNCTION("""COMPUTED_VALUE"""),"Lemurs")</f>
        <v>Lemurs</v>
      </c>
      <c r="E33" s="83" t="str">
        <f>IFERROR(__xludf.DUMMYFUNCTION("""COMPUTED_VALUE"""),"Reapers")</f>
        <v>Reapers</v>
      </c>
      <c r="F33" s="83" t="str">
        <f>IFERROR(__xludf.DUMMYFUNCTION("""COMPUTED_VALUE"""),"Oblivion")</f>
        <v>Oblivion</v>
      </c>
      <c r="G33" s="83" t="str">
        <f>IFERROR(__xludf.DUMMYFUNCTION("""COMPUTED_VALUE"""),"Permafrost")</f>
        <v>Permafrost</v>
      </c>
      <c r="H33" s="83" t="str">
        <f>IFERROR(__xludf.DUMMYFUNCTION("""COMPUTED_VALUE"""),"Care Bears")</f>
        <v>Care Bears</v>
      </c>
      <c r="I33" s="59">
        <f>IFERROR(__xludf.DUMMYFUNCTION("""COMPUTED_VALUE"""),45903.0)</f>
        <v>45903</v>
      </c>
      <c r="J33" s="84"/>
    </row>
    <row r="34">
      <c r="A34" s="73"/>
      <c r="B34" s="55" t="str">
        <f>IFERROR(__xludf.DUMMYFUNCTION("""COMPUTED_VALUE"""),"Preseason 3")</f>
        <v>Preseason 3</v>
      </c>
      <c r="C34" s="82" t="str">
        <f>IFERROR(__xludf.DUMMYFUNCTION("""COMPUTED_VALUE"""),"Andromeda")</f>
        <v>Andromeda</v>
      </c>
      <c r="D34" s="83" t="str">
        <f>IFERROR(__xludf.DUMMYFUNCTION("""COMPUTED_VALUE"""),"Heinous Henchmen")</f>
        <v>Heinous Henchmen</v>
      </c>
      <c r="E34" s="83" t="str">
        <f>IFERROR(__xludf.DUMMYFUNCTION("""COMPUTED_VALUE"""),"Fromunda Frauds")</f>
        <v>Fromunda Frauds</v>
      </c>
      <c r="F34" s="83" t="str">
        <f>IFERROR(__xludf.DUMMYFUNCTION("""COMPUTED_VALUE"""),"Kawaii")</f>
        <v>Kawaii</v>
      </c>
      <c r="G34" s="83" t="str">
        <f>IFERROR(__xludf.DUMMYFUNCTION("""COMPUTED_VALUE"""),"Battle Masters")</f>
        <v>Battle Masters</v>
      </c>
      <c r="H34" s="83" t="str">
        <f>IFERROR(__xludf.DUMMYFUNCTION("""COMPUTED_VALUE"""),"Spectres")</f>
        <v>Spectres</v>
      </c>
      <c r="I34" s="59">
        <f>IFERROR(__xludf.DUMMYFUNCTION("""COMPUTED_VALUE"""),45908.0)</f>
        <v>45908</v>
      </c>
      <c r="J34" s="84"/>
    </row>
    <row r="35">
      <c r="A35" s="73"/>
      <c r="B35" s="55" t="str">
        <f>IFERROR(__xludf.DUMMYFUNCTION("""COMPUTED_VALUE"""),"Match Day 1")</f>
        <v>Match Day 1</v>
      </c>
      <c r="C35" s="85" t="str">
        <f>IFERROR(__xludf.DUMMYFUNCTION("""COMPUTED_VALUE"""),"Reapers")</f>
        <v>Reapers</v>
      </c>
      <c r="D35" s="86" t="str">
        <f>IFERROR(__xludf.DUMMYFUNCTION("""COMPUTED_VALUE"""),"Care Bears")</f>
        <v>Care Bears</v>
      </c>
      <c r="E35" s="86" t="str">
        <f>IFERROR(__xludf.DUMMYFUNCTION("""COMPUTED_VALUE"""),"Oblivion")</f>
        <v>Oblivion</v>
      </c>
      <c r="F35" s="86" t="str">
        <f>IFERROR(__xludf.DUMMYFUNCTION("""COMPUTED_VALUE"""),"Permafrost")</f>
        <v>Permafrost</v>
      </c>
      <c r="G35" s="86" t="str">
        <f>IFERROR(__xludf.DUMMYFUNCTION("""COMPUTED_VALUE"""),"Lemurs")</f>
        <v>Lemurs</v>
      </c>
      <c r="H35" s="86" t="str">
        <f>IFERROR(__xludf.DUMMYFUNCTION("""COMPUTED_VALUE"""),"Helicoprions")</f>
        <v>Helicoprions</v>
      </c>
      <c r="I35" s="59">
        <f>IFERROR(__xludf.DUMMYFUNCTION("""COMPUTED_VALUE"""),45910.0)</f>
        <v>45910</v>
      </c>
      <c r="J35" s="84"/>
    </row>
    <row r="36">
      <c r="A36" s="73"/>
      <c r="B36" s="55" t="str">
        <f>IFERROR(__xludf.DUMMYFUNCTION("""COMPUTED_VALUE"""),"Match Day 2")</f>
        <v>Match Day 2</v>
      </c>
      <c r="C36" s="87" t="str">
        <f>IFERROR(__xludf.DUMMYFUNCTION("""COMPUTED_VALUE"""),"Lemurs")</f>
        <v>Lemurs</v>
      </c>
      <c r="D36" s="88" t="str">
        <f>IFERROR(__xludf.DUMMYFUNCTION("""COMPUTED_VALUE"""),"Reapers")</f>
        <v>Reapers</v>
      </c>
      <c r="E36" s="88" t="str">
        <f>IFERROR(__xludf.DUMMYFUNCTION("""COMPUTED_VALUE"""),"Permafrost")</f>
        <v>Permafrost</v>
      </c>
      <c r="F36" s="88" t="str">
        <f>IFERROR(__xludf.DUMMYFUNCTION("""COMPUTED_VALUE"""),"Helicoprions")</f>
        <v>Helicoprions</v>
      </c>
      <c r="G36" s="88" t="str">
        <f>IFERROR(__xludf.DUMMYFUNCTION("""COMPUTED_VALUE"""),"Care Bears")</f>
        <v>Care Bears</v>
      </c>
      <c r="H36" s="88" t="str">
        <f>IFERROR(__xludf.DUMMYFUNCTION("""COMPUTED_VALUE"""),"Oblivion")</f>
        <v>Oblivion</v>
      </c>
      <c r="I36" s="59">
        <f>IFERROR(__xludf.DUMMYFUNCTION("""COMPUTED_VALUE"""),45915.0)</f>
        <v>45915</v>
      </c>
      <c r="J36" s="73"/>
    </row>
    <row r="37">
      <c r="A37" s="73"/>
      <c r="B37" s="55" t="str">
        <f>IFERROR(__xludf.DUMMYFUNCTION("""COMPUTED_VALUE"""),"Match Day 3")</f>
        <v>Match Day 3</v>
      </c>
      <c r="C37" s="87" t="str">
        <f>IFERROR(__xludf.DUMMYFUNCTION("""COMPUTED_VALUE"""),"Heinous Henchmen")</f>
        <v>Heinous Henchmen</v>
      </c>
      <c r="D37" s="88" t="str">
        <f>IFERROR(__xludf.DUMMYFUNCTION("""COMPUTED_VALUE"""),"Battle Masters")</f>
        <v>Battle Masters</v>
      </c>
      <c r="E37" s="88" t="str">
        <f>IFERROR(__xludf.DUMMYFUNCTION("""COMPUTED_VALUE"""),"Spectres")</f>
        <v>Spectres</v>
      </c>
      <c r="F37" s="88" t="str">
        <f>IFERROR(__xludf.DUMMYFUNCTION("""COMPUTED_VALUE"""),"Fromunda Frauds")</f>
        <v>Fromunda Frauds</v>
      </c>
      <c r="G37" s="88" t="str">
        <f>IFERROR(__xludf.DUMMYFUNCTION("""COMPUTED_VALUE"""),"Andromeda")</f>
        <v>Andromeda</v>
      </c>
      <c r="H37" s="88" t="str">
        <f>IFERROR(__xludf.DUMMYFUNCTION("""COMPUTED_VALUE"""),"Kawaii")</f>
        <v>Kawaii</v>
      </c>
      <c r="I37" s="59">
        <f>IFERROR(__xludf.DUMMYFUNCTION("""COMPUTED_VALUE"""),45917.0)</f>
        <v>45917</v>
      </c>
      <c r="J37" s="73"/>
    </row>
    <row r="38">
      <c r="A38" s="73"/>
      <c r="B38" s="55" t="str">
        <f>IFERROR(__xludf.DUMMYFUNCTION("""COMPUTED_VALUE"""),"Match Day 4")</f>
        <v>Match Day 4</v>
      </c>
      <c r="C38" s="87" t="str">
        <f>IFERROR(__xludf.DUMMYFUNCTION("""COMPUTED_VALUE"""),"Kawaii")</f>
        <v>Kawaii</v>
      </c>
      <c r="D38" s="88" t="str">
        <f>IFERROR(__xludf.DUMMYFUNCTION("""COMPUTED_VALUE"""),"Andromeda")</f>
        <v>Andromeda</v>
      </c>
      <c r="E38" s="88" t="str">
        <f>IFERROR(__xludf.DUMMYFUNCTION("""COMPUTED_VALUE"""),"Battle Masters")</f>
        <v>Battle Masters</v>
      </c>
      <c r="F38" s="88" t="str">
        <f>IFERROR(__xludf.DUMMYFUNCTION("""COMPUTED_VALUE"""),"Heinous Henchmen")</f>
        <v>Heinous Henchmen</v>
      </c>
      <c r="G38" s="88" t="str">
        <f>IFERROR(__xludf.DUMMYFUNCTION("""COMPUTED_VALUE"""),"Spectres")</f>
        <v>Spectres</v>
      </c>
      <c r="H38" s="88" t="str">
        <f>IFERROR(__xludf.DUMMYFUNCTION("""COMPUTED_VALUE"""),"Fromunda Frauds")</f>
        <v>Fromunda Frauds</v>
      </c>
      <c r="I38" s="59">
        <f>IFERROR(__xludf.DUMMYFUNCTION("""COMPUTED_VALUE"""),45922.0)</f>
        <v>45922</v>
      </c>
      <c r="J38" s="73"/>
    </row>
    <row r="39">
      <c r="A39" s="73"/>
      <c r="B39" s="55" t="str">
        <f>IFERROR(__xludf.DUMMYFUNCTION("""COMPUTED_VALUE"""),"Match Day 5")</f>
        <v>Match Day 5</v>
      </c>
      <c r="C39" s="87" t="str">
        <f>IFERROR(__xludf.DUMMYFUNCTION("""COMPUTED_VALUE"""),"Oblivion")</f>
        <v>Oblivion</v>
      </c>
      <c r="D39" s="88" t="str">
        <f>IFERROR(__xludf.DUMMYFUNCTION("""COMPUTED_VALUE"""),"Helicoprions")</f>
        <v>Helicoprions</v>
      </c>
      <c r="E39" s="88" t="str">
        <f>IFERROR(__xludf.DUMMYFUNCTION("""COMPUTED_VALUE"""),"Care Bears")</f>
        <v>Care Bears</v>
      </c>
      <c r="F39" s="88" t="str">
        <f>IFERROR(__xludf.DUMMYFUNCTION("""COMPUTED_VALUE"""),"Lemurs")</f>
        <v>Lemurs</v>
      </c>
      <c r="G39" s="88" t="str">
        <f>IFERROR(__xludf.DUMMYFUNCTION("""COMPUTED_VALUE"""),"Reapers")</f>
        <v>Reapers</v>
      </c>
      <c r="H39" s="88" t="str">
        <f>IFERROR(__xludf.DUMMYFUNCTION("""COMPUTED_VALUE"""),"Permafrost")</f>
        <v>Permafrost</v>
      </c>
      <c r="I39" s="59">
        <f>IFERROR(__xludf.DUMMYFUNCTION("""COMPUTED_VALUE"""),45924.0)</f>
        <v>45924</v>
      </c>
      <c r="J39" s="73"/>
    </row>
    <row r="40">
      <c r="A40" s="73"/>
      <c r="B40" s="55" t="str">
        <f>IFERROR(__xludf.DUMMYFUNCTION("""COMPUTED_VALUE"""),"Match Day 6")</f>
        <v>Match Day 6</v>
      </c>
      <c r="C40" s="87" t="str">
        <f>IFERROR(__xludf.DUMMYFUNCTION("""COMPUTED_VALUE"""),"Helicoprions")</f>
        <v>Helicoprions</v>
      </c>
      <c r="D40" s="88" t="str">
        <f>IFERROR(__xludf.DUMMYFUNCTION("""COMPUTED_VALUE"""),"Lemurs")</f>
        <v>Lemurs</v>
      </c>
      <c r="E40" s="88" t="str">
        <f>IFERROR(__xludf.DUMMYFUNCTION("""COMPUTED_VALUE"""),"Reapers")</f>
        <v>Reapers</v>
      </c>
      <c r="F40" s="88" t="str">
        <f>IFERROR(__xludf.DUMMYFUNCTION("""COMPUTED_VALUE"""),"Oblivion")</f>
        <v>Oblivion</v>
      </c>
      <c r="G40" s="88" t="str">
        <f>IFERROR(__xludf.DUMMYFUNCTION("""COMPUTED_VALUE"""),"Permafrost")</f>
        <v>Permafrost</v>
      </c>
      <c r="H40" s="88" t="str">
        <f>IFERROR(__xludf.DUMMYFUNCTION("""COMPUTED_VALUE"""),"Care Bears")</f>
        <v>Care Bears</v>
      </c>
      <c r="I40" s="59">
        <f>IFERROR(__xludf.DUMMYFUNCTION("""COMPUTED_VALUE"""),45929.0)</f>
        <v>45929</v>
      </c>
      <c r="J40" s="73"/>
    </row>
    <row r="41">
      <c r="A41" s="73"/>
      <c r="B41" s="55" t="str">
        <f>IFERROR(__xludf.DUMMYFUNCTION("""COMPUTED_VALUE"""),"Match Day 7")</f>
        <v>Match Day 7</v>
      </c>
      <c r="C41" s="87" t="str">
        <f>IFERROR(__xludf.DUMMYFUNCTION("""COMPUTED_VALUE"""),"Fromunda Frauds")</f>
        <v>Fromunda Frauds</v>
      </c>
      <c r="D41" s="88" t="str">
        <f>IFERROR(__xludf.DUMMYFUNCTION("""COMPUTED_VALUE"""),"Spectres")</f>
        <v>Spectres</v>
      </c>
      <c r="E41" s="88" t="str">
        <f>IFERROR(__xludf.DUMMYFUNCTION("""COMPUTED_VALUE"""),"Kawaii")</f>
        <v>Kawaii</v>
      </c>
      <c r="F41" s="88" t="str">
        <f>IFERROR(__xludf.DUMMYFUNCTION("""COMPUTED_VALUE"""),"Andromeda")</f>
        <v>Andromeda</v>
      </c>
      <c r="G41" s="88" t="str">
        <f>IFERROR(__xludf.DUMMYFUNCTION("""COMPUTED_VALUE"""),"Heinous Henchmen")</f>
        <v>Heinous Henchmen</v>
      </c>
      <c r="H41" s="88" t="str">
        <f>IFERROR(__xludf.DUMMYFUNCTION("""COMPUTED_VALUE"""),"Battle Masters")</f>
        <v>Battle Masters</v>
      </c>
      <c r="I41" s="59">
        <f>IFERROR(__xludf.DUMMYFUNCTION("""COMPUTED_VALUE"""),45931.0)</f>
        <v>45931</v>
      </c>
      <c r="J41" s="73"/>
    </row>
    <row r="42">
      <c r="A42" s="73"/>
      <c r="B42" s="55" t="str">
        <f>IFERROR(__xludf.DUMMYFUNCTION("""COMPUTED_VALUE"""),"Match Day 8")</f>
        <v>Match Day 8</v>
      </c>
      <c r="C42" s="87" t="str">
        <f>IFERROR(__xludf.DUMMYFUNCTION("""COMPUTED_VALUE"""),"Battle Masters")</f>
        <v>Battle Masters</v>
      </c>
      <c r="D42" s="88" t="str">
        <f>IFERROR(__xludf.DUMMYFUNCTION("""COMPUTED_VALUE"""),"Kawaii")</f>
        <v>Kawaii</v>
      </c>
      <c r="E42" s="88" t="str">
        <f>IFERROR(__xludf.DUMMYFUNCTION("""COMPUTED_VALUE"""),"Andromeda")</f>
        <v>Andromeda</v>
      </c>
      <c r="F42" s="88" t="str">
        <f>IFERROR(__xludf.DUMMYFUNCTION("""COMPUTED_VALUE"""),"Spectres")</f>
        <v>Spectres</v>
      </c>
      <c r="G42" s="88" t="str">
        <f>IFERROR(__xludf.DUMMYFUNCTION("""COMPUTED_VALUE"""),"Fromunda Frauds")</f>
        <v>Fromunda Frauds</v>
      </c>
      <c r="H42" s="88" t="str">
        <f>IFERROR(__xludf.DUMMYFUNCTION("""COMPUTED_VALUE"""),"Heinous Henchmen")</f>
        <v>Heinous Henchmen</v>
      </c>
      <c r="I42" s="59">
        <f>IFERROR(__xludf.DUMMYFUNCTION("""COMPUTED_VALUE"""),45936.0)</f>
        <v>45936</v>
      </c>
      <c r="J42" s="73"/>
    </row>
    <row r="43">
      <c r="A43" s="73"/>
      <c r="B43" s="67" t="str">
        <f>IFERROR(__xludf.DUMMYFUNCTION("""COMPUTED_VALUE"""),"Match Day 9")</f>
        <v>Match Day 9</v>
      </c>
      <c r="C43" s="87" t="str">
        <f>IFERROR(__xludf.DUMMYFUNCTION("""COMPUTED_VALUE"""),"Andromeda")</f>
        <v>Andromeda</v>
      </c>
      <c r="D43" s="88" t="str">
        <f>IFERROR(__xludf.DUMMYFUNCTION("""COMPUTED_VALUE"""),"Heinous Henchmen")</f>
        <v>Heinous Henchmen</v>
      </c>
      <c r="E43" s="88" t="str">
        <f>IFERROR(__xludf.DUMMYFUNCTION("""COMPUTED_VALUE"""),"Fromunda Frauds")</f>
        <v>Fromunda Frauds</v>
      </c>
      <c r="F43" s="88" t="str">
        <f>IFERROR(__xludf.DUMMYFUNCTION("""COMPUTED_VALUE"""),"Kawaii")</f>
        <v>Kawaii</v>
      </c>
      <c r="G43" s="88" t="str">
        <f>IFERROR(__xludf.DUMMYFUNCTION("""COMPUTED_VALUE"""),"Battle Masters")</f>
        <v>Battle Masters</v>
      </c>
      <c r="H43" s="88" t="str">
        <f>IFERROR(__xludf.DUMMYFUNCTION("""COMPUTED_VALUE"""),"Spectres")</f>
        <v>Spectres</v>
      </c>
      <c r="I43" s="59">
        <f>IFERROR(__xludf.DUMMYFUNCTION("""COMPUTED_VALUE"""),45938.0)</f>
        <v>45938</v>
      </c>
      <c r="J43" s="73"/>
    </row>
    <row r="44">
      <c r="A44" s="73"/>
      <c r="B44" s="55" t="str">
        <f>IFERROR(__xludf.DUMMYFUNCTION("""COMPUTED_VALUE"""),"Match Day 10")</f>
        <v>Match Day 10</v>
      </c>
      <c r="C44" s="87" t="str">
        <f>IFERROR(__xludf.DUMMYFUNCTION("""COMPUTED_VALUE"""),"Care Bears")</f>
        <v>Care Bears</v>
      </c>
      <c r="D44" s="88" t="str">
        <f>IFERROR(__xludf.DUMMYFUNCTION("""COMPUTED_VALUE"""),"Permafrost")</f>
        <v>Permafrost</v>
      </c>
      <c r="E44" s="88" t="str">
        <f>IFERROR(__xludf.DUMMYFUNCTION("""COMPUTED_VALUE"""),"Helicoprions")</f>
        <v>Helicoprions</v>
      </c>
      <c r="F44" s="88" t="str">
        <f>IFERROR(__xludf.DUMMYFUNCTION("""COMPUTED_VALUE"""),"Reapers")</f>
        <v>Reapers</v>
      </c>
      <c r="G44" s="88" t="str">
        <f>IFERROR(__xludf.DUMMYFUNCTION("""COMPUTED_VALUE"""),"Oblivion")</f>
        <v>Oblivion</v>
      </c>
      <c r="H44" s="88" t="str">
        <f>IFERROR(__xludf.DUMMYFUNCTION("""COMPUTED_VALUE"""),"Lemurs")</f>
        <v>Lemurs</v>
      </c>
      <c r="I44" s="59">
        <f>IFERROR(__xludf.DUMMYFUNCTION("""COMPUTED_VALUE"""),45945.0)</f>
        <v>45945</v>
      </c>
      <c r="J44" s="73"/>
    </row>
    <row r="45">
      <c r="A45" s="73"/>
      <c r="B45" s="55" t="str">
        <f>IFERROR(__xludf.DUMMYFUNCTION("""COMPUTED_VALUE"""),"Match Day 11")</f>
        <v>Match Day 11</v>
      </c>
      <c r="C45" s="87" t="str">
        <f>IFERROR(__xludf.DUMMYFUNCTION("""COMPUTED_VALUE"""),"Permafrost")</f>
        <v>Permafrost</v>
      </c>
      <c r="D45" s="88" t="str">
        <f>IFERROR(__xludf.DUMMYFUNCTION("""COMPUTED_VALUE"""),"Oblivion")</f>
        <v>Oblivion</v>
      </c>
      <c r="E45" s="88" t="str">
        <f>IFERROR(__xludf.DUMMYFUNCTION("""COMPUTED_VALUE"""),"Lemurs")</f>
        <v>Lemurs</v>
      </c>
      <c r="F45" s="88" t="str">
        <f>IFERROR(__xludf.DUMMYFUNCTION("""COMPUTED_VALUE"""),"Care Bears")</f>
        <v>Care Bears</v>
      </c>
      <c r="G45" s="88" t="str">
        <f>IFERROR(__xludf.DUMMYFUNCTION("""COMPUTED_VALUE"""),"Helicoprions")</f>
        <v>Helicoprions</v>
      </c>
      <c r="H45" s="88" t="str">
        <f>IFERROR(__xludf.DUMMYFUNCTION("""COMPUTED_VALUE"""),"Reapers")</f>
        <v>Reapers</v>
      </c>
      <c r="I45" s="59">
        <f>IFERROR(__xludf.DUMMYFUNCTION("""COMPUTED_VALUE"""),45950.0)</f>
        <v>45950</v>
      </c>
      <c r="J45" s="73"/>
    </row>
    <row r="46">
      <c r="A46" s="73"/>
      <c r="B46" s="68" t="str">
        <f>IFERROR(__xludf.DUMMYFUNCTION("""COMPUTED_VALUE"""),"Match Day 12")</f>
        <v>Match Day 12</v>
      </c>
      <c r="C46" s="87" t="str">
        <f>IFERROR(__xludf.DUMMYFUNCTION("""COMPUTED_VALUE"""),"Heinous Henchmen")</f>
        <v>Heinous Henchmen</v>
      </c>
      <c r="D46" s="88" t="str">
        <f>IFERROR(__xludf.DUMMYFUNCTION("""COMPUTED_VALUE"""),"Battle Masters")</f>
        <v>Battle Masters</v>
      </c>
      <c r="E46" s="88" t="str">
        <f>IFERROR(__xludf.DUMMYFUNCTION("""COMPUTED_VALUE"""),"Spectres")</f>
        <v>Spectres</v>
      </c>
      <c r="F46" s="88" t="str">
        <f>IFERROR(__xludf.DUMMYFUNCTION("""COMPUTED_VALUE"""),"Fromunda Frauds")</f>
        <v>Fromunda Frauds</v>
      </c>
      <c r="G46" s="88" t="str">
        <f>IFERROR(__xludf.DUMMYFUNCTION("""COMPUTED_VALUE"""),"Andromeda")</f>
        <v>Andromeda</v>
      </c>
      <c r="H46" s="88" t="str">
        <f>IFERROR(__xludf.DUMMYFUNCTION("""COMPUTED_VALUE"""),"Kawaii")</f>
        <v>Kawaii</v>
      </c>
      <c r="I46" s="59">
        <f>IFERROR(__xludf.DUMMYFUNCTION("""COMPUTED_VALUE"""),45952.0)</f>
        <v>45952</v>
      </c>
      <c r="J46" s="73"/>
    </row>
    <row r="47">
      <c r="A47" s="73"/>
      <c r="B47" s="68" t="str">
        <f>IFERROR(__xludf.DUMMYFUNCTION("""COMPUTED_VALUE"""),"Match Day 13")</f>
        <v>Match Day 13</v>
      </c>
      <c r="C47" s="87" t="str">
        <f>IFERROR(__xludf.DUMMYFUNCTION("""COMPUTED_VALUE"""),"Helicoprions")</f>
        <v>Helicoprions</v>
      </c>
      <c r="D47" s="88" t="str">
        <f>IFERROR(__xludf.DUMMYFUNCTION("""COMPUTED_VALUE"""),"Lemurs")</f>
        <v>Lemurs</v>
      </c>
      <c r="E47" s="88" t="str">
        <f>IFERROR(__xludf.DUMMYFUNCTION("""COMPUTED_VALUE"""),"Reapers")</f>
        <v>Reapers</v>
      </c>
      <c r="F47" s="88" t="str">
        <f>IFERROR(__xludf.DUMMYFUNCTION("""COMPUTED_VALUE"""),"Oblivion")</f>
        <v>Oblivion</v>
      </c>
      <c r="G47" s="88" t="str">
        <f>IFERROR(__xludf.DUMMYFUNCTION("""COMPUTED_VALUE"""),"Permafrost")</f>
        <v>Permafrost</v>
      </c>
      <c r="H47" s="88" t="str">
        <f>IFERROR(__xludf.DUMMYFUNCTION("""COMPUTED_VALUE"""),"Care Bears")</f>
        <v>Care Bears</v>
      </c>
      <c r="I47" s="59">
        <f>IFERROR(__xludf.DUMMYFUNCTION("""COMPUTED_VALUE"""),45957.0)</f>
        <v>45957</v>
      </c>
      <c r="J47" s="73"/>
    </row>
    <row r="48">
      <c r="A48" s="73"/>
      <c r="B48" s="55" t="str">
        <f>IFERROR(__xludf.DUMMYFUNCTION("""COMPUTED_VALUE"""),"Match Day 14")</f>
        <v>Match Day 14</v>
      </c>
      <c r="C48" s="87" t="str">
        <f>IFERROR(__xludf.DUMMYFUNCTION("""COMPUTED_VALUE"""),"Andromeda")</f>
        <v>Andromeda</v>
      </c>
      <c r="D48" s="88" t="str">
        <f>IFERROR(__xludf.DUMMYFUNCTION("""COMPUTED_VALUE"""),"Heinous Henchmen")</f>
        <v>Heinous Henchmen</v>
      </c>
      <c r="E48" s="88" t="str">
        <f>IFERROR(__xludf.DUMMYFUNCTION("""COMPUTED_VALUE"""),"Fromunda Frauds")</f>
        <v>Fromunda Frauds</v>
      </c>
      <c r="F48" s="88" t="str">
        <f>IFERROR(__xludf.DUMMYFUNCTION("""COMPUTED_VALUE"""),"Kawaii")</f>
        <v>Kawaii</v>
      </c>
      <c r="G48" s="88" t="str">
        <f>IFERROR(__xludf.DUMMYFUNCTION("""COMPUTED_VALUE"""),"Battle Masters")</f>
        <v>Battle Masters</v>
      </c>
      <c r="H48" s="88" t="str">
        <f>IFERROR(__xludf.DUMMYFUNCTION("""COMPUTED_VALUE"""),"Spectres")</f>
        <v>Spectres</v>
      </c>
      <c r="I48" s="59">
        <f>IFERROR(__xludf.DUMMYFUNCTION("""COMPUTED_VALUE"""),45959.0)</f>
        <v>45959</v>
      </c>
      <c r="J48" s="73"/>
    </row>
    <row r="49">
      <c r="A49" s="73"/>
      <c r="B49" s="55" t="str">
        <f>IFERROR(__xludf.DUMMYFUNCTION("""COMPUTED_VALUE"""),"Match Day 15")</f>
        <v>Match Day 15</v>
      </c>
      <c r="C49" s="89" t="str">
        <f>IFERROR(__xludf.DUMMYFUNCTION("""COMPUTED_VALUE"""),"Quarterfinals (10:00 PM ET)")</f>
        <v>Quarterfinals (10:00 PM ET)</v>
      </c>
      <c r="D49" s="27"/>
      <c r="E49" s="27"/>
      <c r="F49" s="27"/>
      <c r="G49" s="27"/>
      <c r="H49" s="90"/>
      <c r="I49" s="59">
        <f>IFERROR(__xludf.DUMMYFUNCTION("""COMPUTED_VALUE"""),45964.0)</f>
        <v>45964</v>
      </c>
      <c r="J49" s="73"/>
    </row>
    <row r="50">
      <c r="A50" s="73"/>
      <c r="B50" s="55" t="str">
        <f>IFERROR(__xludf.DUMMYFUNCTION("""COMPUTED_VALUE"""),"Match Day 16")</f>
        <v>Match Day 16</v>
      </c>
      <c r="C50" s="89" t="str">
        <f>IFERROR(__xludf.DUMMYFUNCTION("""COMPUTED_VALUE"""),"Semifinals (10:00 PM ET)")</f>
        <v>Semifinals (10:00 PM ET)</v>
      </c>
      <c r="D50" s="27"/>
      <c r="E50" s="27"/>
      <c r="F50" s="27"/>
      <c r="G50" s="27"/>
      <c r="H50" s="90"/>
      <c r="I50" s="59">
        <f>IFERROR(__xludf.DUMMYFUNCTION("""COMPUTED_VALUE"""),45966.0)</f>
        <v>45966</v>
      </c>
      <c r="J50" s="73"/>
    </row>
    <row r="51">
      <c r="A51" s="73"/>
      <c r="B51" s="55" t="str">
        <f>IFERROR(__xludf.DUMMYFUNCTION("""COMPUTED_VALUE"""),"Match Day 17")</f>
        <v>Match Day 17</v>
      </c>
      <c r="C51" s="91" t="str">
        <f>IFERROR(__xludf.DUMMYFUNCTION("""COMPUTED_VALUE"""),"Finals (10:30PM ET)")</f>
        <v>Finals (10:30PM ET)</v>
      </c>
      <c r="D51" s="19"/>
      <c r="E51" s="19"/>
      <c r="F51" s="19"/>
      <c r="G51" s="19"/>
      <c r="H51" s="92"/>
      <c r="I51" s="59">
        <f>IFERROR(__xludf.DUMMYFUNCTION("""COMPUTED_VALUE"""),45971.0)</f>
        <v>45971</v>
      </c>
      <c r="J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</row>
  </sheetData>
  <mergeCells count="10">
    <mergeCell ref="C49:H49"/>
    <mergeCell ref="C50:H50"/>
    <mergeCell ref="C51:H51"/>
    <mergeCell ref="A2:I2"/>
    <mergeCell ref="C3:H3"/>
    <mergeCell ref="C4:H5"/>
    <mergeCell ref="C24:H24"/>
    <mergeCell ref="C25:H25"/>
    <mergeCell ref="C26:H26"/>
    <mergeCell ref="C29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D9EEB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6" width="4.5"/>
  </cols>
  <sheetData>
    <row r="1">
      <c r="A1" s="43" t="str">
        <f>IFERROR(__xludf.DUMMYFUNCTION("IMPORTRANGE(Imports!B1, ""Elite!A:W"")"),"sc")</f>
        <v>sc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93"/>
      <c r="Y1" s="93"/>
      <c r="Z1" s="93"/>
    </row>
    <row r="2">
      <c r="A2" s="73"/>
      <c r="B2" s="73"/>
      <c r="C2" s="94" t="str">
        <f>IFERROR(__xludf.DUMMYFUNCTION("""COMPUTED_VALUE"""),"Elite Schedule")</f>
        <v>Elite Schedule</v>
      </c>
      <c r="V2" s="73"/>
      <c r="W2" s="73"/>
      <c r="X2" s="93"/>
      <c r="Y2" s="93"/>
      <c r="Z2" s="93"/>
    </row>
    <row r="3">
      <c r="A3" s="73"/>
      <c r="B3" s="73"/>
      <c r="C3" s="4"/>
      <c r="D3" s="4"/>
      <c r="E3" s="4"/>
      <c r="F3" s="4"/>
      <c r="G3" s="4"/>
      <c r="H3" s="50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Q3" s="4"/>
      <c r="R3" s="4"/>
      <c r="S3" s="4"/>
      <c r="T3" s="4"/>
      <c r="U3" s="4"/>
      <c r="V3" s="73"/>
      <c r="W3" s="73"/>
      <c r="X3" s="93"/>
      <c r="Y3" s="93"/>
      <c r="Z3" s="93"/>
    </row>
    <row r="4">
      <c r="A4" s="73"/>
      <c r="B4" s="48" t="str">
        <f>IFERROR(__xludf.DUMMYFUNCTION("""COMPUTED_VALUE"""),"Preseason")</f>
        <v>Preseason</v>
      </c>
      <c r="C4" s="73"/>
      <c r="D4" s="73"/>
      <c r="E4" s="73"/>
      <c r="F4" s="73"/>
      <c r="G4" s="73"/>
      <c r="H4" s="95" t="str">
        <f>IFERROR(__xludf.DUMMYFUNCTION("""COMPUTED_VALUE"""),"Solar Conference")</f>
        <v>Solar Conference</v>
      </c>
      <c r="Q4" s="73"/>
      <c r="R4" s="73"/>
      <c r="S4" s="73"/>
      <c r="T4" s="73"/>
      <c r="U4" s="73"/>
      <c r="V4" s="48" t="str">
        <f>IFERROR(__xludf.DUMMYFUNCTION("""COMPUTED_VALUE"""),"Preseason")</f>
        <v>Preseason</v>
      </c>
      <c r="W4" s="73"/>
      <c r="X4" s="93"/>
      <c r="Y4" s="93"/>
      <c r="Z4" s="93"/>
    </row>
    <row r="5" ht="15.75" customHeight="1">
      <c r="A5" s="73"/>
      <c r="B5" s="96" t="str">
        <f>IFERROR(__xludf.DUMMYFUNCTION("""COMPUTED_VALUE"""),"In Division")</f>
        <v>In Division</v>
      </c>
      <c r="C5" s="73"/>
      <c r="D5" s="73"/>
      <c r="E5" s="73"/>
      <c r="F5" s="73"/>
      <c r="G5" s="73"/>
      <c r="Q5" s="73"/>
      <c r="R5" s="73"/>
      <c r="S5" s="73"/>
      <c r="T5" s="73"/>
      <c r="U5" s="73"/>
      <c r="V5" s="96" t="str">
        <f>IFERROR(__xludf.DUMMYFUNCTION("""COMPUTED_VALUE"""),"In Division")</f>
        <v>In Division</v>
      </c>
      <c r="W5" s="73"/>
      <c r="X5" s="93"/>
      <c r="Y5" s="93"/>
      <c r="Z5" s="93"/>
    </row>
    <row r="6" ht="15.75" customHeight="1">
      <c r="A6" s="73"/>
      <c r="B6" s="78" t="str">
        <f>IFERROR(__xludf.DUMMYFUNCTION("""COMPUTED_VALUE"""),"In Conference")</f>
        <v>In Conference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78" t="str">
        <f>IFERROR(__xludf.DUMMYFUNCTION("""COMPUTED_VALUE"""),"In Conference")</f>
        <v>In Conference</v>
      </c>
      <c r="W6" s="73"/>
      <c r="X6" s="93"/>
      <c r="Y6" s="93"/>
      <c r="Z6" s="93"/>
    </row>
    <row r="7" ht="15.75" customHeight="1">
      <c r="A7" s="73"/>
      <c r="B7" s="97" t="str">
        <f>IFERROR(__xludf.DUMMYFUNCTION("""COMPUTED_VALUE"""),"Out of Conference")</f>
        <v>Out of Conference</v>
      </c>
      <c r="C7" s="98" t="str">
        <f>IFERROR(__xludf.DUMMYFUNCTION("""COMPUTED_VALUE"""),"Cloud Division")</f>
        <v>Cloud Division</v>
      </c>
      <c r="G7" s="43"/>
      <c r="H7" s="99" t="str">
        <f>IFERROR(__xludf.DUMMYFUNCTION("""COMPUTED_VALUE"""),"Ember Division")</f>
        <v>Ember Division</v>
      </c>
      <c r="L7" s="73"/>
      <c r="M7" s="100" t="str">
        <f>IFERROR(__xludf.DUMMYFUNCTION("""COMPUTED_VALUE"""),"Mountain Division")</f>
        <v>Mountain Division</v>
      </c>
      <c r="Q7" s="101"/>
      <c r="R7" s="102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  <c r="X7" s="93"/>
      <c r="Y7" s="93"/>
      <c r="Z7" s="9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IFERROR(__xludf.DUMMYFUNCTION("""COMPUTED_VALUE"""),"Sloths")</f>
        <v>Sloths</v>
      </c>
      <c r="D8" s="103" t="str">
        <f>IFERROR(__xludf.DUMMYFUNCTION("""COMPUTED_VALUE"""),"Dragon")</f>
        <v>Dragon</v>
      </c>
      <c r="E8" s="103" t="str">
        <f>IFERROR(__xludf.DUMMYFUNCTION("""COMPUTED_VALUE"""),"Frostbite")</f>
        <v>Frostbite</v>
      </c>
      <c r="F8" s="103" t="str">
        <f>IFERROR(__xludf.DUMMYFUNCTION("""COMPUTED_VALUE"""),"Menthol")</f>
        <v>Menthol</v>
      </c>
      <c r="G8" s="73"/>
      <c r="H8" s="103" t="str">
        <f>IFERROR(__xludf.DUMMYFUNCTION("""COMPUTED_VALUE"""),"Peerless Scarred")</f>
        <v>Peerless Scarred</v>
      </c>
      <c r="I8" s="103" t="str">
        <f>IFERROR(__xludf.DUMMYFUNCTION("""COMPUTED_VALUE"""),"Desolation")</f>
        <v>Desolation</v>
      </c>
      <c r="J8" s="103" t="str">
        <f>IFERROR(__xludf.DUMMYFUNCTION("""COMPUTED_VALUE"""),"Drive-by")</f>
        <v>Drive-by</v>
      </c>
      <c r="K8" s="103" t="str">
        <f>IFERROR(__xludf.DUMMYFUNCTION("""COMPUTED_VALUE"""),"Swordsman")</f>
        <v>Swordsman</v>
      </c>
      <c r="L8" s="104"/>
      <c r="M8" s="103" t="str">
        <f>IFERROR(__xludf.DUMMYFUNCTION("""COMPUTED_VALUE"""),"Great Whites")</f>
        <v>Great Whites</v>
      </c>
      <c r="N8" s="103" t="str">
        <f>IFERROR(__xludf.DUMMYFUNCTION("""COMPUTED_VALUE"""),"Orochi")</f>
        <v>Orochi</v>
      </c>
      <c r="O8" s="103" t="str">
        <f>IFERROR(__xludf.DUMMYFUNCTION("""COMPUTED_VALUE"""),"Fire")</f>
        <v>Fire</v>
      </c>
      <c r="P8" s="103" t="str">
        <f>IFERROR(__xludf.DUMMYFUNCTION("""COMPUTED_VALUE"""),"Pixel Picassos")</f>
        <v>Pixel Picassos</v>
      </c>
      <c r="Q8" s="105"/>
      <c r="R8" s="103" t="str">
        <f>IFERROR(__xludf.DUMMYFUNCTION("""COMPUTED_VALUE"""),"Praetorian Guard")</f>
        <v>Praetorian Guard</v>
      </c>
      <c r="S8" s="103" t="str">
        <f>IFERROR(__xludf.DUMMYFUNCTION("""COMPUTED_VALUE"""),"Teddy Bears")</f>
        <v>Teddy Bears</v>
      </c>
      <c r="T8" s="103" t="str">
        <f>IFERROR(__xludf.DUMMYFUNCTION("""COMPUTED_VALUE"""),"Hydras")</f>
        <v>Hydras</v>
      </c>
      <c r="U8" s="81" t="str">
        <f>IFERROR(__xludf.DUMMYFUNCTION("""COMPUTED_VALUE"""),"Hellhounds")</f>
        <v>Hellhounds</v>
      </c>
      <c r="V8" s="80" t="str">
        <f>IFERROR(__xludf.DUMMYFUNCTION("""COMPUTED_VALUE"""),"Playoffs")</f>
        <v>Playoffs</v>
      </c>
      <c r="W8" s="73"/>
      <c r="X8" s="93"/>
      <c r="Y8" s="93"/>
      <c r="Z8" s="93"/>
    </row>
    <row r="9">
      <c r="A9" s="106" t="str">
        <f>IFERROR(__xludf.DUMMYFUNCTION("""COMPUTED_VALUE"""),"MD4")</f>
        <v>MD4</v>
      </c>
      <c r="B9" s="55" t="str">
        <f>IFERROR(__xludf.DUMMYFUNCTION("""COMPUTED_VALUE"""),"Preseason 1")</f>
        <v>Preseason 1</v>
      </c>
      <c r="C9" s="82" t="str">
        <f>IFERROR(__xludf.DUMMYFUNCTION("""COMPUTED_VALUE"""),"Dragon")</f>
        <v>Dragon</v>
      </c>
      <c r="D9" s="83" t="str">
        <f>IFERROR(__xludf.DUMMYFUNCTION("""COMPUTED_VALUE"""),"Sloths")</f>
        <v>Sloths</v>
      </c>
      <c r="E9" s="83" t="str">
        <f>IFERROR(__xludf.DUMMYFUNCTION("""COMPUTED_VALUE"""),"Menthol")</f>
        <v>Menthol</v>
      </c>
      <c r="F9" s="83" t="str">
        <f>IFERROR(__xludf.DUMMYFUNCTION("""COMPUTED_VALUE"""),"Frostbite")</f>
        <v>Frostbite</v>
      </c>
      <c r="G9" s="107"/>
      <c r="H9" s="83" t="str">
        <f>IFERROR(__xludf.DUMMYFUNCTION("""COMPUTED_VALUE"""),"Desolation")</f>
        <v>Desolation</v>
      </c>
      <c r="I9" s="83" t="str">
        <f>IFERROR(__xludf.DUMMYFUNCTION("""COMPUTED_VALUE"""),"Peerless Scarred")</f>
        <v>Peerless Scarred</v>
      </c>
      <c r="J9" s="83" t="str">
        <f>IFERROR(__xludf.DUMMYFUNCTION("""COMPUTED_VALUE"""),"Swordsman")</f>
        <v>Swordsman</v>
      </c>
      <c r="K9" s="83" t="str">
        <f>IFERROR(__xludf.DUMMYFUNCTION("""COMPUTED_VALUE"""),"Drive-by")</f>
        <v>Drive-by</v>
      </c>
      <c r="L9" s="107"/>
      <c r="M9" s="83" t="str">
        <f>IFERROR(__xludf.DUMMYFUNCTION("""COMPUTED_VALUE"""),"Orochi")</f>
        <v>Orochi</v>
      </c>
      <c r="N9" s="83" t="str">
        <f>IFERROR(__xludf.DUMMYFUNCTION("""COMPUTED_VALUE"""),"Great Whites")</f>
        <v>Great Whites</v>
      </c>
      <c r="O9" s="83" t="str">
        <f>IFERROR(__xludf.DUMMYFUNCTION("""COMPUTED_VALUE"""),"Pixel Picassos")</f>
        <v>Pixel Picassos</v>
      </c>
      <c r="P9" s="83" t="str">
        <f>IFERROR(__xludf.DUMMYFUNCTION("""COMPUTED_VALUE"""),"Fire")</f>
        <v>Fire</v>
      </c>
      <c r="Q9" s="108"/>
      <c r="R9" s="83" t="str">
        <f>IFERROR(__xludf.DUMMYFUNCTION("""COMPUTED_VALUE"""),"Teddy Bears")</f>
        <v>Teddy Bears</v>
      </c>
      <c r="S9" s="83" t="str">
        <f>IFERROR(__xludf.DUMMYFUNCTION("""COMPUTED_VALUE"""),"Praetorian Guard")</f>
        <v>Praetorian Guard</v>
      </c>
      <c r="T9" s="83" t="str">
        <f>IFERROR(__xludf.DUMMYFUNCTION("""COMPUTED_VALUE"""),"Hellhounds")</f>
        <v>Hellhounds</v>
      </c>
      <c r="U9" s="83" t="str">
        <f>IFERROR(__xludf.DUMMYFUNCTION("""COMPUTED_VALUE"""),"Hydras")</f>
        <v>Hydras</v>
      </c>
      <c r="V9" s="109">
        <f>IFERROR(__xludf.DUMMYFUNCTION("""COMPUTED_VALUE"""),45896.0)</f>
        <v>45896</v>
      </c>
      <c r="W9" s="73"/>
      <c r="X9" s="93"/>
      <c r="Y9" s="93"/>
      <c r="Z9" s="93"/>
    </row>
    <row r="10">
      <c r="A10" s="106" t="str">
        <f>IFERROR(__xludf.DUMMYFUNCTION("""COMPUTED_VALUE"""),"MD12")</f>
        <v>MD12</v>
      </c>
      <c r="B10" s="55" t="str">
        <f>IFERROR(__xludf.DUMMYFUNCTION("""COMPUTED_VALUE"""),"Preseason 2")</f>
        <v>Preseason 2</v>
      </c>
      <c r="C10" s="82" t="str">
        <f>IFERROR(__xludf.DUMMYFUNCTION("""COMPUTED_VALUE"""),"Hydras")</f>
        <v>Hydras</v>
      </c>
      <c r="D10" s="110" t="str">
        <f>IFERROR(__xludf.DUMMYFUNCTION("""COMPUTED_VALUE"""),"Hellhounds")</f>
        <v>Hellhounds</v>
      </c>
      <c r="E10" s="110" t="str">
        <f>IFERROR(__xludf.DUMMYFUNCTION("""COMPUTED_VALUE"""),"Praetorian Guard")</f>
        <v>Praetorian Guard</v>
      </c>
      <c r="F10" s="110" t="str">
        <f>IFERROR(__xludf.DUMMYFUNCTION("""COMPUTED_VALUE"""),"Teddy Bears")</f>
        <v>Teddy Bears</v>
      </c>
      <c r="G10" s="73"/>
      <c r="H10" s="111" t="str">
        <f>IFERROR(__xludf.DUMMYFUNCTION("""COMPUTED_VALUE"""),"Fire")</f>
        <v>Fire</v>
      </c>
      <c r="I10" s="110" t="str">
        <f>IFERROR(__xludf.DUMMYFUNCTION("""COMPUTED_VALUE"""),"Pixel Picassos")</f>
        <v>Pixel Picassos</v>
      </c>
      <c r="J10" s="110" t="str">
        <f>IFERROR(__xludf.DUMMYFUNCTION("""COMPUTED_VALUE"""),"Great Whites")</f>
        <v>Great Whites</v>
      </c>
      <c r="K10" s="110" t="str">
        <f>IFERROR(__xludf.DUMMYFUNCTION("""COMPUTED_VALUE"""),"Orochi")</f>
        <v>Orochi</v>
      </c>
      <c r="L10" s="73"/>
      <c r="M10" s="111" t="str">
        <f>IFERROR(__xludf.DUMMYFUNCTION("""COMPUTED_VALUE"""),"Drive-by")</f>
        <v>Drive-by</v>
      </c>
      <c r="N10" s="110" t="str">
        <f>IFERROR(__xludf.DUMMYFUNCTION("""COMPUTED_VALUE"""),"Swordsman")</f>
        <v>Swordsman</v>
      </c>
      <c r="O10" s="110" t="str">
        <f>IFERROR(__xludf.DUMMYFUNCTION("""COMPUTED_VALUE"""),"Peerless Scarred")</f>
        <v>Peerless Scarred</v>
      </c>
      <c r="P10" s="110" t="str">
        <f>IFERROR(__xludf.DUMMYFUNCTION("""COMPUTED_VALUE"""),"Desolation")</f>
        <v>Desolation</v>
      </c>
      <c r="Q10" s="101"/>
      <c r="R10" s="111" t="str">
        <f>IFERROR(__xludf.DUMMYFUNCTION("""COMPUTED_VALUE"""),"Frostbite")</f>
        <v>Frostbite</v>
      </c>
      <c r="S10" s="110" t="str">
        <f>IFERROR(__xludf.DUMMYFUNCTION("""COMPUTED_VALUE"""),"Menthol")</f>
        <v>Menthol</v>
      </c>
      <c r="T10" s="110" t="str">
        <f>IFERROR(__xludf.DUMMYFUNCTION("""COMPUTED_VALUE"""),"Sloths")</f>
        <v>Sloths</v>
      </c>
      <c r="U10" s="110" t="str">
        <f>IFERROR(__xludf.DUMMYFUNCTION("""COMPUTED_VALUE"""),"Dragon")</f>
        <v>Dragon</v>
      </c>
      <c r="V10" s="109">
        <f>IFERROR(__xludf.DUMMYFUNCTION("""COMPUTED_VALUE"""),45903.0)</f>
        <v>45903</v>
      </c>
      <c r="W10" s="73"/>
      <c r="X10" s="93"/>
      <c r="Y10" s="93"/>
      <c r="Z10" s="93"/>
    </row>
    <row r="11">
      <c r="A11" s="106" t="str">
        <f>IFERROR(__xludf.DUMMYFUNCTION("""COMPUTED_VALUE"""),"MD7")</f>
        <v>MD7</v>
      </c>
      <c r="B11" s="55" t="str">
        <f>IFERROR(__xludf.DUMMYFUNCTION("""COMPUTED_VALUE"""),"Preseason 3")</f>
        <v>Preseason 3</v>
      </c>
      <c r="C11" s="82" t="str">
        <f>IFERROR(__xludf.DUMMYFUNCTION("""COMPUTED_VALUE"""),"Thrashers")</f>
        <v>Thrashers</v>
      </c>
      <c r="D11" s="83" t="str">
        <f>IFERROR(__xludf.DUMMYFUNCTION("""COMPUTED_VALUE"""),"Forge Defenders")</f>
        <v>Forge Defenders</v>
      </c>
      <c r="E11" s="83" t="str">
        <f>IFERROR(__xludf.DUMMYFUNCTION("""COMPUTED_VALUE"""),"Black-Holes")</f>
        <v>Black-Holes</v>
      </c>
      <c r="F11" s="83" t="str">
        <f>IFERROR(__xludf.DUMMYFUNCTION("""COMPUTED_VALUE"""),"Immortals")</f>
        <v>Immortals</v>
      </c>
      <c r="G11" s="73"/>
      <c r="H11" s="82" t="str">
        <f>IFERROR(__xludf.DUMMYFUNCTION("""COMPUTED_VALUE"""),"Cotija Cartel")</f>
        <v>Cotija Cartel</v>
      </c>
      <c r="I11" s="83" t="str">
        <f>IFERROR(__xludf.DUMMYFUNCTION("""COMPUTED_VALUE"""),"Embezzlers")</f>
        <v>Embezzlers</v>
      </c>
      <c r="J11" s="83" t="str">
        <f>IFERROR(__xludf.DUMMYFUNCTION("""COMPUTED_VALUE"""),"Ghastly Goombahs")</f>
        <v>Ghastly Goombahs</v>
      </c>
      <c r="K11" s="83" t="str">
        <f>IFERROR(__xludf.DUMMYFUNCTION("""COMPUTED_VALUE"""),"Raptors")</f>
        <v>Raptors</v>
      </c>
      <c r="L11" s="73"/>
      <c r="M11" s="82" t="str">
        <f>IFERROR(__xludf.DUMMYFUNCTION("""COMPUTED_VALUE"""),"Dik-diks")</f>
        <v>Dik-diks</v>
      </c>
      <c r="N11" s="83" t="str">
        <f>IFERROR(__xludf.DUMMYFUNCTION("""COMPUTED_VALUE"""),"Krakens")</f>
        <v>Krakens</v>
      </c>
      <c r="O11" s="83" t="str">
        <f>IFERROR(__xludf.DUMMYFUNCTION("""COMPUTED_VALUE"""),"Forest Cobra")</f>
        <v>Forest Cobra</v>
      </c>
      <c r="P11" s="83" t="str">
        <f>IFERROR(__xludf.DUMMYFUNCTION("""COMPUTED_VALUE"""),"Commanders")</f>
        <v>Commanders</v>
      </c>
      <c r="Q11" s="101"/>
      <c r="R11" s="82" t="str">
        <f>IFERROR(__xludf.DUMMYFUNCTION("""COMPUTED_VALUE"""),"Demons")</f>
        <v>Demons</v>
      </c>
      <c r="S11" s="83" t="str">
        <f>IFERROR(__xludf.DUMMYFUNCTION("""COMPUTED_VALUE"""),"Gelato")</f>
        <v>Gelato</v>
      </c>
      <c r="T11" s="83" t="str">
        <f>IFERROR(__xludf.DUMMYFUNCTION("""COMPUTED_VALUE"""),"Afterburners")</f>
        <v>Afterburners</v>
      </c>
      <c r="U11" s="83" t="str">
        <f>IFERROR(__xludf.DUMMYFUNCTION("""COMPUTED_VALUE"""),"Despair")</f>
        <v>Despair</v>
      </c>
      <c r="V11" s="109">
        <f>IFERROR(__xludf.DUMMYFUNCTION("""COMPUTED_VALUE"""),45908.0)</f>
        <v>45908</v>
      </c>
      <c r="W11" s="73"/>
      <c r="X11" s="93"/>
      <c r="Y11" s="93"/>
      <c r="Z11" s="93"/>
    </row>
    <row r="12">
      <c r="A12" s="73"/>
      <c r="B12" s="55" t="str">
        <f>IFERROR(__xludf.DUMMYFUNCTION("""COMPUTED_VALUE"""),"Match Day 1")</f>
        <v>Match Day 1</v>
      </c>
      <c r="C12" s="112" t="str">
        <f>IFERROR(__xludf.DUMMYFUNCTION("""COMPUTED_VALUE"""),"Desolation")</f>
        <v>Desolation</v>
      </c>
      <c r="D12" s="113" t="str">
        <f>IFERROR(__xludf.DUMMYFUNCTION("""COMPUTED_VALUE"""),"Peerless Scarred")</f>
        <v>Peerless Scarred</v>
      </c>
      <c r="E12" s="113" t="str">
        <f>IFERROR(__xludf.DUMMYFUNCTION("""COMPUTED_VALUE"""),"Swordsman")</f>
        <v>Swordsman</v>
      </c>
      <c r="F12" s="113" t="str">
        <f>IFERROR(__xludf.DUMMYFUNCTION("""COMPUTED_VALUE"""),"Drive-by")</f>
        <v>Drive-by</v>
      </c>
      <c r="G12" s="114"/>
      <c r="H12" s="113" t="str">
        <f>IFERROR(__xludf.DUMMYFUNCTION("""COMPUTED_VALUE"""),"Dragon")</f>
        <v>Dragon</v>
      </c>
      <c r="I12" s="113" t="str">
        <f>IFERROR(__xludf.DUMMYFUNCTION("""COMPUTED_VALUE"""),"Sloths")</f>
        <v>Sloths</v>
      </c>
      <c r="J12" s="113" t="str">
        <f>IFERROR(__xludf.DUMMYFUNCTION("""COMPUTED_VALUE"""),"Menthol")</f>
        <v>Menthol</v>
      </c>
      <c r="K12" s="113" t="str">
        <f>IFERROR(__xludf.DUMMYFUNCTION("""COMPUTED_VALUE"""),"Frostbite")</f>
        <v>Frostbite</v>
      </c>
      <c r="L12" s="114"/>
      <c r="M12" s="113" t="str">
        <f>IFERROR(__xludf.DUMMYFUNCTION("""COMPUTED_VALUE"""),"Teddy Bears")</f>
        <v>Teddy Bears</v>
      </c>
      <c r="N12" s="113" t="str">
        <f>IFERROR(__xludf.DUMMYFUNCTION("""COMPUTED_VALUE"""),"Praetorian Guard")</f>
        <v>Praetorian Guard</v>
      </c>
      <c r="O12" s="113" t="str">
        <f>IFERROR(__xludf.DUMMYFUNCTION("""COMPUTED_VALUE"""),"Hellhounds")</f>
        <v>Hellhounds</v>
      </c>
      <c r="P12" s="113" t="str">
        <f>IFERROR(__xludf.DUMMYFUNCTION("""COMPUTED_VALUE"""),"Hydras")</f>
        <v>Hydras</v>
      </c>
      <c r="Q12" s="115"/>
      <c r="R12" s="113" t="str">
        <f>IFERROR(__xludf.DUMMYFUNCTION("""COMPUTED_VALUE"""),"Orochi")</f>
        <v>Orochi</v>
      </c>
      <c r="S12" s="113" t="str">
        <f>IFERROR(__xludf.DUMMYFUNCTION("""COMPUTED_VALUE"""),"Great Whites")</f>
        <v>Great Whites</v>
      </c>
      <c r="T12" s="113" t="str">
        <f>IFERROR(__xludf.DUMMYFUNCTION("""COMPUTED_VALUE"""),"Pixel Picassos")</f>
        <v>Pixel Picassos</v>
      </c>
      <c r="U12" s="113" t="str">
        <f>IFERROR(__xludf.DUMMYFUNCTION("""COMPUTED_VALUE"""),"Fire")</f>
        <v>Fire</v>
      </c>
      <c r="V12" s="109">
        <f>IFERROR(__xludf.DUMMYFUNCTION("""COMPUTED_VALUE"""),45910.0)</f>
        <v>45910</v>
      </c>
      <c r="W12" s="73"/>
      <c r="X12" s="93"/>
      <c r="Y12" s="93"/>
      <c r="Z12" s="93"/>
    </row>
    <row r="13">
      <c r="A13" s="73"/>
      <c r="B13" s="55" t="str">
        <f>IFERROR(__xludf.DUMMYFUNCTION("""COMPUTED_VALUE"""),"Match Day 2")</f>
        <v>Match Day 2</v>
      </c>
      <c r="C13" s="116" t="str">
        <f>IFERROR(__xludf.DUMMYFUNCTION("""COMPUTED_VALUE"""),"Praetorian Guard")</f>
        <v>Praetorian Guard</v>
      </c>
      <c r="D13" s="117" t="str">
        <f>IFERROR(__xludf.DUMMYFUNCTION("""COMPUTED_VALUE"""),"Teddy Bears")</f>
        <v>Teddy Bears</v>
      </c>
      <c r="E13" s="117" t="str">
        <f>IFERROR(__xludf.DUMMYFUNCTION("""COMPUTED_VALUE"""),"Hydras")</f>
        <v>Hydras</v>
      </c>
      <c r="F13" s="117" t="str">
        <f>IFERROR(__xludf.DUMMYFUNCTION("""COMPUTED_VALUE"""),"Hellhounds")</f>
        <v>Hellhounds</v>
      </c>
      <c r="G13" s="107"/>
      <c r="H13" s="117" t="str">
        <f>IFERROR(__xludf.DUMMYFUNCTION("""COMPUTED_VALUE"""),"Great Whites")</f>
        <v>Great Whites</v>
      </c>
      <c r="I13" s="117" t="str">
        <f>IFERROR(__xludf.DUMMYFUNCTION("""COMPUTED_VALUE"""),"Orochi")</f>
        <v>Orochi</v>
      </c>
      <c r="J13" s="117" t="str">
        <f>IFERROR(__xludf.DUMMYFUNCTION("""COMPUTED_VALUE"""),"Fire")</f>
        <v>Fire</v>
      </c>
      <c r="K13" s="117" t="str">
        <f>IFERROR(__xludf.DUMMYFUNCTION("""COMPUTED_VALUE"""),"Pixel Picassos")</f>
        <v>Pixel Picassos</v>
      </c>
      <c r="L13" s="107"/>
      <c r="M13" s="117" t="str">
        <f>IFERROR(__xludf.DUMMYFUNCTION("""COMPUTED_VALUE"""),"Peerless Scarred")</f>
        <v>Peerless Scarred</v>
      </c>
      <c r="N13" s="117" t="str">
        <f>IFERROR(__xludf.DUMMYFUNCTION("""COMPUTED_VALUE"""),"Desolation")</f>
        <v>Desolation</v>
      </c>
      <c r="O13" s="117" t="str">
        <f>IFERROR(__xludf.DUMMYFUNCTION("""COMPUTED_VALUE"""),"Drive-by")</f>
        <v>Drive-by</v>
      </c>
      <c r="P13" s="117" t="str">
        <f>IFERROR(__xludf.DUMMYFUNCTION("""COMPUTED_VALUE"""),"Swordsman")</f>
        <v>Swordsman</v>
      </c>
      <c r="Q13" s="108"/>
      <c r="R13" s="117" t="str">
        <f>IFERROR(__xludf.DUMMYFUNCTION("""COMPUTED_VALUE"""),"Sloths")</f>
        <v>Sloths</v>
      </c>
      <c r="S13" s="117" t="str">
        <f>IFERROR(__xludf.DUMMYFUNCTION("""COMPUTED_VALUE"""),"Dragon")</f>
        <v>Dragon</v>
      </c>
      <c r="T13" s="117" t="str">
        <f>IFERROR(__xludf.DUMMYFUNCTION("""COMPUTED_VALUE"""),"Frostbite")</f>
        <v>Frostbite</v>
      </c>
      <c r="U13" s="117" t="str">
        <f>IFERROR(__xludf.DUMMYFUNCTION("""COMPUTED_VALUE"""),"Menthol")</f>
        <v>Menthol</v>
      </c>
      <c r="V13" s="109">
        <f>IFERROR(__xludf.DUMMYFUNCTION("""COMPUTED_VALUE"""),45915.0)</f>
        <v>45915</v>
      </c>
      <c r="W13" s="73"/>
      <c r="X13" s="93"/>
      <c r="Y13" s="93"/>
      <c r="Z13" s="9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IFERROR(__xludf.DUMMYFUNCTION("""COMPUTED_VALUE"""),"Frostbite")</f>
        <v>Frostbite</v>
      </c>
      <c r="D14" s="119" t="str">
        <f>IFERROR(__xludf.DUMMYFUNCTION("""COMPUTED_VALUE"""),"Menthol")</f>
        <v>Menthol</v>
      </c>
      <c r="E14" s="119" t="str">
        <f>IFERROR(__xludf.DUMMYFUNCTION("""COMPUTED_VALUE"""),"Sloths")</f>
        <v>Sloths</v>
      </c>
      <c r="F14" s="119" t="str">
        <f>IFERROR(__xludf.DUMMYFUNCTION("""COMPUTED_VALUE"""),"Dragon")</f>
        <v>Dragon</v>
      </c>
      <c r="G14" s="107"/>
      <c r="H14" s="119" t="str">
        <f>IFERROR(__xludf.DUMMYFUNCTION("""COMPUTED_VALUE"""),"Drive-by")</f>
        <v>Drive-by</v>
      </c>
      <c r="I14" s="119" t="str">
        <f>IFERROR(__xludf.DUMMYFUNCTION("""COMPUTED_VALUE"""),"Swordsman")</f>
        <v>Swordsman</v>
      </c>
      <c r="J14" s="119" t="str">
        <f>IFERROR(__xludf.DUMMYFUNCTION("""COMPUTED_VALUE"""),"Peerless Scarred")</f>
        <v>Peerless Scarred</v>
      </c>
      <c r="K14" s="119" t="str">
        <f>IFERROR(__xludf.DUMMYFUNCTION("""COMPUTED_VALUE"""),"Desolation")</f>
        <v>Desolation</v>
      </c>
      <c r="L14" s="107"/>
      <c r="M14" s="119" t="str">
        <f>IFERROR(__xludf.DUMMYFUNCTION("""COMPUTED_VALUE"""),"Fire")</f>
        <v>Fire</v>
      </c>
      <c r="N14" s="119" t="str">
        <f>IFERROR(__xludf.DUMMYFUNCTION("""COMPUTED_VALUE"""),"Pixel Picassos")</f>
        <v>Pixel Picassos</v>
      </c>
      <c r="O14" s="119" t="str">
        <f>IFERROR(__xludf.DUMMYFUNCTION("""COMPUTED_VALUE"""),"Great Whites")</f>
        <v>Great Whites</v>
      </c>
      <c r="P14" s="119" t="str">
        <f>IFERROR(__xludf.DUMMYFUNCTION("""COMPUTED_VALUE"""),"Orochi")</f>
        <v>Orochi</v>
      </c>
      <c r="Q14" s="120"/>
      <c r="R14" s="119" t="str">
        <f>IFERROR(__xludf.DUMMYFUNCTION("""COMPUTED_VALUE"""),"Hydras")</f>
        <v>Hydras</v>
      </c>
      <c r="S14" s="119" t="str">
        <f>IFERROR(__xludf.DUMMYFUNCTION("""COMPUTED_VALUE"""),"Hellhounds")</f>
        <v>Hellhounds</v>
      </c>
      <c r="T14" s="119" t="str">
        <f>IFERROR(__xludf.DUMMYFUNCTION("""COMPUTED_VALUE"""),"Praetorian Guard")</f>
        <v>Praetorian Guard</v>
      </c>
      <c r="U14" s="119" t="str">
        <f>IFERROR(__xludf.DUMMYFUNCTION("""COMPUTED_VALUE"""),"Teddy Bears")</f>
        <v>Teddy Bears</v>
      </c>
      <c r="V14" s="109">
        <f>IFERROR(__xludf.DUMMYFUNCTION("""COMPUTED_VALUE"""),45917.0)</f>
        <v>45917</v>
      </c>
      <c r="W14" s="73"/>
      <c r="X14" s="93"/>
      <c r="Y14" s="93"/>
      <c r="Z14" s="9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IFERROR(__xludf.DUMMYFUNCTION("""COMPUTED_VALUE"""),"Dragon")</f>
        <v>Dragon</v>
      </c>
      <c r="D15" s="119" t="str">
        <f>IFERROR(__xludf.DUMMYFUNCTION("""COMPUTED_VALUE"""),"Sloths")</f>
        <v>Sloths</v>
      </c>
      <c r="E15" s="119" t="str">
        <f>IFERROR(__xludf.DUMMYFUNCTION("""COMPUTED_VALUE"""),"Menthol")</f>
        <v>Menthol</v>
      </c>
      <c r="F15" s="119" t="str">
        <f>IFERROR(__xludf.DUMMYFUNCTION("""COMPUTED_VALUE"""),"Frostbite")</f>
        <v>Frostbite</v>
      </c>
      <c r="G15" s="107"/>
      <c r="H15" s="119" t="str">
        <f>IFERROR(__xludf.DUMMYFUNCTION("""COMPUTED_VALUE"""),"Desolation")</f>
        <v>Desolation</v>
      </c>
      <c r="I15" s="119" t="str">
        <f>IFERROR(__xludf.DUMMYFUNCTION("""COMPUTED_VALUE"""),"Peerless Scarred")</f>
        <v>Peerless Scarred</v>
      </c>
      <c r="J15" s="119" t="str">
        <f>IFERROR(__xludf.DUMMYFUNCTION("""COMPUTED_VALUE"""),"Swordsman")</f>
        <v>Swordsman</v>
      </c>
      <c r="K15" s="119" t="str">
        <f>IFERROR(__xludf.DUMMYFUNCTION("""COMPUTED_VALUE"""),"Drive-by")</f>
        <v>Drive-by</v>
      </c>
      <c r="L15" s="107"/>
      <c r="M15" s="119" t="str">
        <f>IFERROR(__xludf.DUMMYFUNCTION("""COMPUTED_VALUE"""),"Orochi")</f>
        <v>Orochi</v>
      </c>
      <c r="N15" s="119" t="str">
        <f>IFERROR(__xludf.DUMMYFUNCTION("""COMPUTED_VALUE"""),"Great Whites")</f>
        <v>Great Whites</v>
      </c>
      <c r="O15" s="119" t="str">
        <f>IFERROR(__xludf.DUMMYFUNCTION("""COMPUTED_VALUE"""),"Pixel Picassos")</f>
        <v>Pixel Picassos</v>
      </c>
      <c r="P15" s="119" t="str">
        <f>IFERROR(__xludf.DUMMYFUNCTION("""COMPUTED_VALUE"""),"Fire")</f>
        <v>Fire</v>
      </c>
      <c r="Q15" s="120"/>
      <c r="R15" s="119" t="str">
        <f>IFERROR(__xludf.DUMMYFUNCTION("""COMPUTED_VALUE"""),"Teddy Bears")</f>
        <v>Teddy Bears</v>
      </c>
      <c r="S15" s="119" t="str">
        <f>IFERROR(__xludf.DUMMYFUNCTION("""COMPUTED_VALUE"""),"Praetorian Guard")</f>
        <v>Praetorian Guard</v>
      </c>
      <c r="T15" s="119" t="str">
        <f>IFERROR(__xludf.DUMMYFUNCTION("""COMPUTED_VALUE"""),"Hellhounds")</f>
        <v>Hellhounds</v>
      </c>
      <c r="U15" s="119" t="str">
        <f>IFERROR(__xludf.DUMMYFUNCTION("""COMPUTED_VALUE"""),"Hydras")</f>
        <v>Hydras</v>
      </c>
      <c r="V15" s="109">
        <f>IFERROR(__xludf.DUMMYFUNCTION("""COMPUTED_VALUE"""),45922.0)</f>
        <v>45922</v>
      </c>
      <c r="W15" s="73"/>
      <c r="X15" s="93"/>
      <c r="Y15" s="93"/>
      <c r="Z15" s="9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IFERROR(__xludf.DUMMYFUNCTION("""COMPUTED_VALUE"""),"Menthol")</f>
        <v>Menthol</v>
      </c>
      <c r="D16" s="119" t="str">
        <f>IFERROR(__xludf.DUMMYFUNCTION("""COMPUTED_VALUE"""),"Frostbite")</f>
        <v>Frostbite</v>
      </c>
      <c r="E16" s="119" t="str">
        <f>IFERROR(__xludf.DUMMYFUNCTION("""COMPUTED_VALUE"""),"Dragon")</f>
        <v>Dragon</v>
      </c>
      <c r="F16" s="119" t="str">
        <f>IFERROR(__xludf.DUMMYFUNCTION("""COMPUTED_VALUE"""),"Sloths")</f>
        <v>Sloths</v>
      </c>
      <c r="G16" s="107"/>
      <c r="H16" s="119" t="str">
        <f>IFERROR(__xludf.DUMMYFUNCTION("""COMPUTED_VALUE"""),"Swordsman")</f>
        <v>Swordsman</v>
      </c>
      <c r="I16" s="119" t="str">
        <f>IFERROR(__xludf.DUMMYFUNCTION("""COMPUTED_VALUE"""),"Drive-by")</f>
        <v>Drive-by</v>
      </c>
      <c r="J16" s="119" t="str">
        <f>IFERROR(__xludf.DUMMYFUNCTION("""COMPUTED_VALUE"""),"Desolation")</f>
        <v>Desolation</v>
      </c>
      <c r="K16" s="119" t="str">
        <f>IFERROR(__xludf.DUMMYFUNCTION("""COMPUTED_VALUE"""),"Peerless Scarred")</f>
        <v>Peerless Scarred</v>
      </c>
      <c r="L16" s="107"/>
      <c r="M16" s="119" t="str">
        <f>IFERROR(__xludf.DUMMYFUNCTION("""COMPUTED_VALUE"""),"Pixel Picassos")</f>
        <v>Pixel Picassos</v>
      </c>
      <c r="N16" s="119" t="str">
        <f>IFERROR(__xludf.DUMMYFUNCTION("""COMPUTED_VALUE"""),"Fire")</f>
        <v>Fire</v>
      </c>
      <c r="O16" s="119" t="str">
        <f>IFERROR(__xludf.DUMMYFUNCTION("""COMPUTED_VALUE"""),"Orochi")</f>
        <v>Orochi</v>
      </c>
      <c r="P16" s="119" t="str">
        <f>IFERROR(__xludf.DUMMYFUNCTION("""COMPUTED_VALUE"""),"Great Whites")</f>
        <v>Great Whites</v>
      </c>
      <c r="Q16" s="120"/>
      <c r="R16" s="119" t="str">
        <f>IFERROR(__xludf.DUMMYFUNCTION("""COMPUTED_VALUE"""),"Hellhounds")</f>
        <v>Hellhounds</v>
      </c>
      <c r="S16" s="119" t="str">
        <f>IFERROR(__xludf.DUMMYFUNCTION("""COMPUTED_VALUE"""),"Hydras")</f>
        <v>Hydras</v>
      </c>
      <c r="T16" s="119" t="str">
        <f>IFERROR(__xludf.DUMMYFUNCTION("""COMPUTED_VALUE"""),"Teddy Bears")</f>
        <v>Teddy Bears</v>
      </c>
      <c r="U16" s="119" t="str">
        <f>IFERROR(__xludf.DUMMYFUNCTION("""COMPUTED_VALUE"""),"Praetorian Guard")</f>
        <v>Praetorian Guard</v>
      </c>
      <c r="V16" s="59">
        <f>IFERROR(__xludf.DUMMYFUNCTION("""COMPUTED_VALUE"""),45924.0)</f>
        <v>45924</v>
      </c>
      <c r="W16" s="73"/>
      <c r="X16" s="93"/>
      <c r="Y16" s="93"/>
      <c r="Z16" s="9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IFERROR(__xludf.DUMMYFUNCTION("""COMPUTED_VALUE"""),"Embezzlers")</f>
        <v>Embezzlers</v>
      </c>
      <c r="D17" s="122" t="str">
        <f>IFERROR(__xludf.DUMMYFUNCTION("""COMPUTED_VALUE"""),"Cotija Cartel")</f>
        <v>Cotija Cartel</v>
      </c>
      <c r="E17" s="122" t="str">
        <f>IFERROR(__xludf.DUMMYFUNCTION("""COMPUTED_VALUE"""),"Raptors")</f>
        <v>Raptors</v>
      </c>
      <c r="F17" s="122" t="str">
        <f>IFERROR(__xludf.DUMMYFUNCTION("""COMPUTED_VALUE"""),"Ghastly Goombahs")</f>
        <v>Ghastly Goombahs</v>
      </c>
      <c r="G17" s="107"/>
      <c r="H17" s="122" t="str">
        <f>IFERROR(__xludf.DUMMYFUNCTION("""COMPUTED_VALUE"""),"Forge Defenders")</f>
        <v>Forge Defenders</v>
      </c>
      <c r="I17" s="122" t="str">
        <f>IFERROR(__xludf.DUMMYFUNCTION("""COMPUTED_VALUE"""),"Thrashers")</f>
        <v>Thrashers</v>
      </c>
      <c r="J17" s="122" t="str">
        <f>IFERROR(__xludf.DUMMYFUNCTION("""COMPUTED_VALUE"""),"Immortals")</f>
        <v>Immortals</v>
      </c>
      <c r="K17" s="122" t="str">
        <f>IFERROR(__xludf.DUMMYFUNCTION("""COMPUTED_VALUE"""),"Black-Holes")</f>
        <v>Black-Holes</v>
      </c>
      <c r="L17" s="107"/>
      <c r="M17" s="122" t="str">
        <f>IFERROR(__xludf.DUMMYFUNCTION("""COMPUTED_VALUE"""),"Gelato")</f>
        <v>Gelato</v>
      </c>
      <c r="N17" s="122" t="str">
        <f>IFERROR(__xludf.DUMMYFUNCTION("""COMPUTED_VALUE"""),"Demons")</f>
        <v>Demons</v>
      </c>
      <c r="O17" s="122" t="str">
        <f>IFERROR(__xludf.DUMMYFUNCTION("""COMPUTED_VALUE"""),"Despair")</f>
        <v>Despair</v>
      </c>
      <c r="P17" s="122" t="str">
        <f>IFERROR(__xludf.DUMMYFUNCTION("""COMPUTED_VALUE"""),"Afterburners")</f>
        <v>Afterburners</v>
      </c>
      <c r="Q17" s="120"/>
      <c r="R17" s="122" t="str">
        <f>IFERROR(__xludf.DUMMYFUNCTION("""COMPUTED_VALUE"""),"Krakens")</f>
        <v>Krakens</v>
      </c>
      <c r="S17" s="122" t="str">
        <f>IFERROR(__xludf.DUMMYFUNCTION("""COMPUTED_VALUE"""),"Dik-diks")</f>
        <v>Dik-diks</v>
      </c>
      <c r="T17" s="122" t="str">
        <f>IFERROR(__xludf.DUMMYFUNCTION("""COMPUTED_VALUE"""),"Commanders")</f>
        <v>Commanders</v>
      </c>
      <c r="U17" s="122" t="str">
        <f>IFERROR(__xludf.DUMMYFUNCTION("""COMPUTED_VALUE"""),"Forest Cobra")</f>
        <v>Forest Cobra</v>
      </c>
      <c r="V17" s="59">
        <f>IFERROR(__xludf.DUMMYFUNCTION("""COMPUTED_VALUE"""),45929.0)</f>
        <v>45929</v>
      </c>
      <c r="W17" s="73"/>
      <c r="X17" s="93"/>
      <c r="Y17" s="93"/>
      <c r="Z17" s="9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IFERROR(__xludf.DUMMYFUNCTION("""COMPUTED_VALUE"""),"Cotija Cartel")</f>
        <v>Cotija Cartel</v>
      </c>
      <c r="D18" s="122" t="str">
        <f>IFERROR(__xludf.DUMMYFUNCTION("""COMPUTED_VALUE"""),"Embezzlers")</f>
        <v>Embezzlers</v>
      </c>
      <c r="E18" s="122" t="str">
        <f>IFERROR(__xludf.DUMMYFUNCTION("""COMPUTED_VALUE"""),"Ghastly Goombahs")</f>
        <v>Ghastly Goombahs</v>
      </c>
      <c r="F18" s="122" t="str">
        <f>IFERROR(__xludf.DUMMYFUNCTION("""COMPUTED_VALUE"""),"Raptors")</f>
        <v>Raptors</v>
      </c>
      <c r="G18" s="107"/>
      <c r="H18" s="122" t="str">
        <f>IFERROR(__xludf.DUMMYFUNCTION("""COMPUTED_VALUE"""),"Thrashers")</f>
        <v>Thrashers</v>
      </c>
      <c r="I18" s="122" t="str">
        <f>IFERROR(__xludf.DUMMYFUNCTION("""COMPUTED_VALUE"""),"Forge Defenders")</f>
        <v>Forge Defenders</v>
      </c>
      <c r="J18" s="122" t="str">
        <f>IFERROR(__xludf.DUMMYFUNCTION("""COMPUTED_VALUE"""),"Black-Holes")</f>
        <v>Black-Holes</v>
      </c>
      <c r="K18" s="122" t="str">
        <f>IFERROR(__xludf.DUMMYFUNCTION("""COMPUTED_VALUE"""),"Immortals")</f>
        <v>Immortals</v>
      </c>
      <c r="L18" s="107"/>
      <c r="M18" s="122" t="str">
        <f>IFERROR(__xludf.DUMMYFUNCTION("""COMPUTED_VALUE"""),"Demons")</f>
        <v>Demons</v>
      </c>
      <c r="N18" s="122" t="str">
        <f>IFERROR(__xludf.DUMMYFUNCTION("""COMPUTED_VALUE"""),"Gelato")</f>
        <v>Gelato</v>
      </c>
      <c r="O18" s="122" t="str">
        <f>IFERROR(__xludf.DUMMYFUNCTION("""COMPUTED_VALUE"""),"Afterburners")</f>
        <v>Afterburners</v>
      </c>
      <c r="P18" s="122" t="str">
        <f>IFERROR(__xludf.DUMMYFUNCTION("""COMPUTED_VALUE"""),"Despair")</f>
        <v>Despair</v>
      </c>
      <c r="Q18" s="120"/>
      <c r="R18" s="122" t="str">
        <f>IFERROR(__xludf.DUMMYFUNCTION("""COMPUTED_VALUE"""),"Dik-diks")</f>
        <v>Dik-diks</v>
      </c>
      <c r="S18" s="122" t="str">
        <f>IFERROR(__xludf.DUMMYFUNCTION("""COMPUTED_VALUE"""),"Krakens")</f>
        <v>Krakens</v>
      </c>
      <c r="T18" s="122" t="str">
        <f>IFERROR(__xludf.DUMMYFUNCTION("""COMPUTED_VALUE"""),"Forest Cobra")</f>
        <v>Forest Cobra</v>
      </c>
      <c r="U18" s="122" t="str">
        <f>IFERROR(__xludf.DUMMYFUNCTION("""COMPUTED_VALUE"""),"Commanders")</f>
        <v>Commanders</v>
      </c>
      <c r="V18" s="59">
        <f>IFERROR(__xludf.DUMMYFUNCTION("""COMPUTED_VALUE"""),45931.0)</f>
        <v>45931</v>
      </c>
      <c r="W18" s="73"/>
      <c r="X18" s="93"/>
      <c r="Y18" s="93"/>
      <c r="Z18" s="9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IFERROR(__xludf.DUMMYFUNCTION("""COMPUTED_VALUE"""),"Ghastly Goombahs")</f>
        <v>Ghastly Goombahs</v>
      </c>
      <c r="D19" s="122" t="str">
        <f>IFERROR(__xludf.DUMMYFUNCTION("""COMPUTED_VALUE"""),"Raptors")</f>
        <v>Raptors</v>
      </c>
      <c r="E19" s="122" t="str">
        <f>IFERROR(__xludf.DUMMYFUNCTION("""COMPUTED_VALUE"""),"Cotija Cartel")</f>
        <v>Cotija Cartel</v>
      </c>
      <c r="F19" s="122" t="str">
        <f>IFERROR(__xludf.DUMMYFUNCTION("""COMPUTED_VALUE"""),"Embezzlers")</f>
        <v>Embezzlers</v>
      </c>
      <c r="G19" s="107"/>
      <c r="H19" s="122" t="str">
        <f>IFERROR(__xludf.DUMMYFUNCTION("""COMPUTED_VALUE"""),"Black-Holes")</f>
        <v>Black-Holes</v>
      </c>
      <c r="I19" s="122" t="str">
        <f>IFERROR(__xludf.DUMMYFUNCTION("""COMPUTED_VALUE"""),"Immortals")</f>
        <v>Immortals</v>
      </c>
      <c r="J19" s="122" t="str">
        <f>IFERROR(__xludf.DUMMYFUNCTION("""COMPUTED_VALUE"""),"Thrashers")</f>
        <v>Thrashers</v>
      </c>
      <c r="K19" s="122" t="str">
        <f>IFERROR(__xludf.DUMMYFUNCTION("""COMPUTED_VALUE"""),"Forge Defenders")</f>
        <v>Forge Defenders</v>
      </c>
      <c r="L19" s="107"/>
      <c r="M19" s="122" t="str">
        <f>IFERROR(__xludf.DUMMYFUNCTION("""COMPUTED_VALUE"""),"Afterburners")</f>
        <v>Afterburners</v>
      </c>
      <c r="N19" s="122" t="str">
        <f>IFERROR(__xludf.DUMMYFUNCTION("""COMPUTED_VALUE"""),"Despair")</f>
        <v>Despair</v>
      </c>
      <c r="O19" s="122" t="str">
        <f>IFERROR(__xludf.DUMMYFUNCTION("""COMPUTED_VALUE"""),"Demons")</f>
        <v>Demons</v>
      </c>
      <c r="P19" s="122" t="str">
        <f>IFERROR(__xludf.DUMMYFUNCTION("""COMPUTED_VALUE"""),"Gelato")</f>
        <v>Gelato</v>
      </c>
      <c r="Q19" s="120"/>
      <c r="R19" s="122" t="str">
        <f>IFERROR(__xludf.DUMMYFUNCTION("""COMPUTED_VALUE"""),"Forest Cobra")</f>
        <v>Forest Cobra</v>
      </c>
      <c r="S19" s="122" t="str">
        <f>IFERROR(__xludf.DUMMYFUNCTION("""COMPUTED_VALUE"""),"Commanders")</f>
        <v>Commanders</v>
      </c>
      <c r="T19" s="122" t="str">
        <f>IFERROR(__xludf.DUMMYFUNCTION("""COMPUTED_VALUE"""),"Dik-diks")</f>
        <v>Dik-diks</v>
      </c>
      <c r="U19" s="122" t="str">
        <f>IFERROR(__xludf.DUMMYFUNCTION("""COMPUTED_VALUE"""),"Krakens")</f>
        <v>Krakens</v>
      </c>
      <c r="V19" s="59">
        <f>IFERROR(__xludf.DUMMYFUNCTION("""COMPUTED_VALUE"""),45936.0)</f>
        <v>45936</v>
      </c>
      <c r="W19" s="73"/>
      <c r="X19" s="93"/>
      <c r="Y19" s="93"/>
      <c r="Z19" s="93"/>
    </row>
    <row r="20">
      <c r="A20" s="73"/>
      <c r="B20" s="67" t="str">
        <f>IFERROR(__xludf.DUMMYFUNCTION("""COMPUTED_VALUE"""),"Match Day 9")</f>
        <v>Match Day 9</v>
      </c>
      <c r="C20" s="121" t="str">
        <f>IFERROR(__xludf.DUMMYFUNCTION("""COMPUTED_VALUE"""),"Raptors")</f>
        <v>Raptors</v>
      </c>
      <c r="D20" s="122" t="str">
        <f>IFERROR(__xludf.DUMMYFUNCTION("""COMPUTED_VALUE"""),"Ghastly Goombahs")</f>
        <v>Ghastly Goombahs</v>
      </c>
      <c r="E20" s="122" t="str">
        <f>IFERROR(__xludf.DUMMYFUNCTION("""COMPUTED_VALUE"""),"Embezzlers")</f>
        <v>Embezzlers</v>
      </c>
      <c r="F20" s="122" t="str">
        <f>IFERROR(__xludf.DUMMYFUNCTION("""COMPUTED_VALUE"""),"Cotija Cartel")</f>
        <v>Cotija Cartel</v>
      </c>
      <c r="G20" s="107"/>
      <c r="H20" s="122" t="str">
        <f>IFERROR(__xludf.DUMMYFUNCTION("""COMPUTED_VALUE"""),"Immortals")</f>
        <v>Immortals</v>
      </c>
      <c r="I20" s="122" t="str">
        <f>IFERROR(__xludf.DUMMYFUNCTION("""COMPUTED_VALUE"""),"Black-Holes")</f>
        <v>Black-Holes</v>
      </c>
      <c r="J20" s="122" t="str">
        <f>IFERROR(__xludf.DUMMYFUNCTION("""COMPUTED_VALUE"""),"Forge Defenders")</f>
        <v>Forge Defenders</v>
      </c>
      <c r="K20" s="122" t="str">
        <f>IFERROR(__xludf.DUMMYFUNCTION("""COMPUTED_VALUE"""),"Thrashers")</f>
        <v>Thrashers</v>
      </c>
      <c r="L20" s="107"/>
      <c r="M20" s="122" t="str">
        <f>IFERROR(__xludf.DUMMYFUNCTION("""COMPUTED_VALUE"""),"Despair")</f>
        <v>Despair</v>
      </c>
      <c r="N20" s="122" t="str">
        <f>IFERROR(__xludf.DUMMYFUNCTION("""COMPUTED_VALUE"""),"Afterburners")</f>
        <v>Afterburners</v>
      </c>
      <c r="O20" s="122" t="str">
        <f>IFERROR(__xludf.DUMMYFUNCTION("""COMPUTED_VALUE"""),"Gelato")</f>
        <v>Gelato</v>
      </c>
      <c r="P20" s="122" t="str">
        <f>IFERROR(__xludf.DUMMYFUNCTION("""COMPUTED_VALUE"""),"Demons")</f>
        <v>Demons</v>
      </c>
      <c r="Q20" s="120"/>
      <c r="R20" s="122" t="str">
        <f>IFERROR(__xludf.DUMMYFUNCTION("""COMPUTED_VALUE"""),"Commanders")</f>
        <v>Commanders</v>
      </c>
      <c r="S20" s="122" t="str">
        <f>IFERROR(__xludf.DUMMYFUNCTION("""COMPUTED_VALUE"""),"Forest Cobra")</f>
        <v>Forest Cobra</v>
      </c>
      <c r="T20" s="122" t="str">
        <f>IFERROR(__xludf.DUMMYFUNCTION("""COMPUTED_VALUE"""),"Krakens")</f>
        <v>Krakens</v>
      </c>
      <c r="U20" s="122" t="str">
        <f>IFERROR(__xludf.DUMMYFUNCTION("""COMPUTED_VALUE"""),"Dik-diks")</f>
        <v>Dik-diks</v>
      </c>
      <c r="V20" s="59">
        <f>IFERROR(__xludf.DUMMYFUNCTION("""COMPUTED_VALUE"""),45938.0)</f>
        <v>45938</v>
      </c>
      <c r="W20" s="73"/>
      <c r="X20" s="93"/>
      <c r="Y20" s="93"/>
      <c r="Z20" s="93"/>
    </row>
    <row r="21">
      <c r="A21" s="73"/>
      <c r="B21" s="55" t="str">
        <f>IFERROR(__xludf.DUMMYFUNCTION("""COMPUTED_VALUE"""),"Match Day 10")</f>
        <v>Match Day 10</v>
      </c>
      <c r="C21" s="116" t="str">
        <f>IFERROR(__xludf.DUMMYFUNCTION("""COMPUTED_VALUE"""),"Great Whites")</f>
        <v>Great Whites</v>
      </c>
      <c r="D21" s="117" t="str">
        <f>IFERROR(__xludf.DUMMYFUNCTION("""COMPUTED_VALUE"""),"Orochi")</f>
        <v>Orochi</v>
      </c>
      <c r="E21" s="117" t="str">
        <f>IFERROR(__xludf.DUMMYFUNCTION("""COMPUTED_VALUE"""),"Fire")</f>
        <v>Fire</v>
      </c>
      <c r="F21" s="117" t="str">
        <f>IFERROR(__xludf.DUMMYFUNCTION("""COMPUTED_VALUE"""),"Pixel Picassos")</f>
        <v>Pixel Picassos</v>
      </c>
      <c r="G21" s="107"/>
      <c r="H21" s="117" t="str">
        <f>IFERROR(__xludf.DUMMYFUNCTION("""COMPUTED_VALUE"""),"Praetorian Guard")</f>
        <v>Praetorian Guard</v>
      </c>
      <c r="I21" s="117" t="str">
        <f>IFERROR(__xludf.DUMMYFUNCTION("""COMPUTED_VALUE"""),"Teddy Bears")</f>
        <v>Teddy Bears</v>
      </c>
      <c r="J21" s="117" t="str">
        <f>IFERROR(__xludf.DUMMYFUNCTION("""COMPUTED_VALUE"""),"Hydras")</f>
        <v>Hydras</v>
      </c>
      <c r="K21" s="117" t="str">
        <f>IFERROR(__xludf.DUMMYFUNCTION("""COMPUTED_VALUE"""),"Hellhounds")</f>
        <v>Hellhounds</v>
      </c>
      <c r="L21" s="107"/>
      <c r="M21" s="117" t="str">
        <f>IFERROR(__xludf.DUMMYFUNCTION("""COMPUTED_VALUE"""),"Sloths")</f>
        <v>Sloths</v>
      </c>
      <c r="N21" s="117" t="str">
        <f>IFERROR(__xludf.DUMMYFUNCTION("""COMPUTED_VALUE"""),"Dragon")</f>
        <v>Dragon</v>
      </c>
      <c r="O21" s="117" t="str">
        <f>IFERROR(__xludf.DUMMYFUNCTION("""COMPUTED_VALUE"""),"Frostbite")</f>
        <v>Frostbite</v>
      </c>
      <c r="P21" s="117" t="str">
        <f>IFERROR(__xludf.DUMMYFUNCTION("""COMPUTED_VALUE"""),"Menthol")</f>
        <v>Menthol</v>
      </c>
      <c r="Q21" s="120"/>
      <c r="R21" s="117" t="str">
        <f>IFERROR(__xludf.DUMMYFUNCTION("""COMPUTED_VALUE"""),"Peerless Scarred")</f>
        <v>Peerless Scarred</v>
      </c>
      <c r="S21" s="117" t="str">
        <f>IFERROR(__xludf.DUMMYFUNCTION("""COMPUTED_VALUE"""),"Desolation")</f>
        <v>Desolation</v>
      </c>
      <c r="T21" s="117" t="str">
        <f>IFERROR(__xludf.DUMMYFUNCTION("""COMPUTED_VALUE"""),"Drive-by")</f>
        <v>Drive-by</v>
      </c>
      <c r="U21" s="117" t="str">
        <f>IFERROR(__xludf.DUMMYFUNCTION("""COMPUTED_VALUE"""),"Swordsman")</f>
        <v>Swordsman</v>
      </c>
      <c r="V21" s="59">
        <f>IFERROR(__xludf.DUMMYFUNCTION("""COMPUTED_VALUE"""),45945.0)</f>
        <v>45945</v>
      </c>
      <c r="W21" s="73"/>
      <c r="X21" s="93"/>
      <c r="Y21" s="93"/>
      <c r="Z21" s="93"/>
    </row>
    <row r="22">
      <c r="A22" s="73"/>
      <c r="B22" s="55" t="str">
        <f>IFERROR(__xludf.DUMMYFUNCTION("""COMPUTED_VALUE"""),"Match Day 11")</f>
        <v>Match Day 11</v>
      </c>
      <c r="C22" s="116" t="str">
        <f>IFERROR(__xludf.DUMMYFUNCTION("""COMPUTED_VALUE"""),"Orochi")</f>
        <v>Orochi</v>
      </c>
      <c r="D22" s="117" t="str">
        <f>IFERROR(__xludf.DUMMYFUNCTION("""COMPUTED_VALUE"""),"Great Whites")</f>
        <v>Great Whites</v>
      </c>
      <c r="E22" s="117" t="str">
        <f>IFERROR(__xludf.DUMMYFUNCTION("""COMPUTED_VALUE"""),"Pixel Picassos")</f>
        <v>Pixel Picassos</v>
      </c>
      <c r="F22" s="117" t="str">
        <f>IFERROR(__xludf.DUMMYFUNCTION("""COMPUTED_VALUE"""),"Fire")</f>
        <v>Fire</v>
      </c>
      <c r="G22" s="107"/>
      <c r="H22" s="117" t="str">
        <f>IFERROR(__xludf.DUMMYFUNCTION("""COMPUTED_VALUE"""),"Teddy Bears")</f>
        <v>Teddy Bears</v>
      </c>
      <c r="I22" s="117" t="str">
        <f>IFERROR(__xludf.DUMMYFUNCTION("""COMPUTED_VALUE"""),"Praetorian Guard")</f>
        <v>Praetorian Guard</v>
      </c>
      <c r="J22" s="117" t="str">
        <f>IFERROR(__xludf.DUMMYFUNCTION("""COMPUTED_VALUE"""),"Hellhounds")</f>
        <v>Hellhounds</v>
      </c>
      <c r="K22" s="88" t="str">
        <f>IFERROR(__xludf.DUMMYFUNCTION("""COMPUTED_VALUE"""),"Hydras")</f>
        <v>Hydras</v>
      </c>
      <c r="L22" s="107"/>
      <c r="M22" s="117" t="str">
        <f>IFERROR(__xludf.DUMMYFUNCTION("""COMPUTED_VALUE"""),"Dragon")</f>
        <v>Dragon</v>
      </c>
      <c r="N22" s="117" t="str">
        <f>IFERROR(__xludf.DUMMYFUNCTION("""COMPUTED_VALUE"""),"Sloths")</f>
        <v>Sloths</v>
      </c>
      <c r="O22" s="117" t="str">
        <f>IFERROR(__xludf.DUMMYFUNCTION("""COMPUTED_VALUE"""),"Menthol")</f>
        <v>Menthol</v>
      </c>
      <c r="P22" s="117" t="str">
        <f>IFERROR(__xludf.DUMMYFUNCTION("""COMPUTED_VALUE"""),"Frostbite")</f>
        <v>Frostbite</v>
      </c>
      <c r="Q22" s="120"/>
      <c r="R22" s="117" t="str">
        <f>IFERROR(__xludf.DUMMYFUNCTION("""COMPUTED_VALUE"""),"Desolation")</f>
        <v>Desolation</v>
      </c>
      <c r="S22" s="117" t="str">
        <f>IFERROR(__xludf.DUMMYFUNCTION("""COMPUTED_VALUE"""),"Peerless Scarred")</f>
        <v>Peerless Scarred</v>
      </c>
      <c r="T22" s="117" t="str">
        <f>IFERROR(__xludf.DUMMYFUNCTION("""COMPUTED_VALUE"""),"Swordsman")</f>
        <v>Swordsman</v>
      </c>
      <c r="U22" s="117" t="str">
        <f>IFERROR(__xludf.DUMMYFUNCTION("""COMPUTED_VALUE"""),"Drive-by")</f>
        <v>Drive-by</v>
      </c>
      <c r="V22" s="59">
        <f>IFERROR(__xludf.DUMMYFUNCTION("""COMPUTED_VALUE"""),45950.0)</f>
        <v>45950</v>
      </c>
      <c r="W22" s="73"/>
      <c r="X22" s="93"/>
      <c r="Y22" s="93"/>
      <c r="Z22" s="93"/>
    </row>
    <row r="23">
      <c r="A23" s="73"/>
      <c r="B23" s="68" t="str">
        <f>IFERROR(__xludf.DUMMYFUNCTION("""COMPUTED_VALUE"""),"Match Day 12")</f>
        <v>Match Day 12</v>
      </c>
      <c r="C23" s="116" t="str">
        <f>IFERROR(__xludf.DUMMYFUNCTION("""COMPUTED_VALUE"""),"Fire")</f>
        <v>Fire</v>
      </c>
      <c r="D23" s="117" t="str">
        <f>IFERROR(__xludf.DUMMYFUNCTION("""COMPUTED_VALUE"""),"Pixel Picassos")</f>
        <v>Pixel Picassos</v>
      </c>
      <c r="E23" s="117" t="str">
        <f>IFERROR(__xludf.DUMMYFUNCTION("""COMPUTED_VALUE"""),"Great Whites")</f>
        <v>Great Whites</v>
      </c>
      <c r="F23" s="117" t="str">
        <f>IFERROR(__xludf.DUMMYFUNCTION("""COMPUTED_VALUE"""),"Orochi")</f>
        <v>Orochi</v>
      </c>
      <c r="G23" s="107"/>
      <c r="H23" s="88" t="str">
        <f>IFERROR(__xludf.DUMMYFUNCTION("""COMPUTED_VALUE"""),"Hydras")</f>
        <v>Hydras</v>
      </c>
      <c r="I23" s="117" t="str">
        <f>IFERROR(__xludf.DUMMYFUNCTION("""COMPUTED_VALUE"""),"Hellhounds")</f>
        <v>Hellhounds</v>
      </c>
      <c r="J23" s="117" t="str">
        <f>IFERROR(__xludf.DUMMYFUNCTION("""COMPUTED_VALUE"""),"Praetorian Guard")</f>
        <v>Praetorian Guard</v>
      </c>
      <c r="K23" s="117" t="str">
        <f>IFERROR(__xludf.DUMMYFUNCTION("""COMPUTED_VALUE"""),"Teddy Bears")</f>
        <v>Teddy Bears</v>
      </c>
      <c r="L23" s="107"/>
      <c r="M23" s="117" t="str">
        <f>IFERROR(__xludf.DUMMYFUNCTION("""COMPUTED_VALUE"""),"Frostbite")</f>
        <v>Frostbite</v>
      </c>
      <c r="N23" s="117" t="str">
        <f>IFERROR(__xludf.DUMMYFUNCTION("""COMPUTED_VALUE"""),"Menthol")</f>
        <v>Menthol</v>
      </c>
      <c r="O23" s="117" t="str">
        <f>IFERROR(__xludf.DUMMYFUNCTION("""COMPUTED_VALUE"""),"Sloths")</f>
        <v>Sloths</v>
      </c>
      <c r="P23" s="117" t="str">
        <f>IFERROR(__xludf.DUMMYFUNCTION("""COMPUTED_VALUE"""),"Dragon")</f>
        <v>Dragon</v>
      </c>
      <c r="Q23" s="120"/>
      <c r="R23" s="117" t="str">
        <f>IFERROR(__xludf.DUMMYFUNCTION("""COMPUTED_VALUE"""),"Drive-by")</f>
        <v>Drive-by</v>
      </c>
      <c r="S23" s="117" t="str">
        <f>IFERROR(__xludf.DUMMYFUNCTION("""COMPUTED_VALUE"""),"Swordsman")</f>
        <v>Swordsman</v>
      </c>
      <c r="T23" s="117" t="str">
        <f>IFERROR(__xludf.DUMMYFUNCTION("""COMPUTED_VALUE"""),"Peerless Scarred")</f>
        <v>Peerless Scarred</v>
      </c>
      <c r="U23" s="117" t="str">
        <f>IFERROR(__xludf.DUMMYFUNCTION("""COMPUTED_VALUE"""),"Desolation")</f>
        <v>Desolation</v>
      </c>
      <c r="V23" s="59">
        <f>IFERROR(__xludf.DUMMYFUNCTION("""COMPUTED_VALUE"""),45952.0)</f>
        <v>45952</v>
      </c>
      <c r="W23" s="73"/>
      <c r="X23" s="93"/>
      <c r="Y23" s="93"/>
      <c r="Z23" s="93"/>
    </row>
    <row r="24">
      <c r="A24" s="73"/>
      <c r="B24" s="68" t="str">
        <f>IFERROR(__xludf.DUMMYFUNCTION("""COMPUTED_VALUE"""),"Match Day 13")</f>
        <v>Match Day 13</v>
      </c>
      <c r="C24" s="116" t="str">
        <f>IFERROR(__xludf.DUMMYFUNCTION("""COMPUTED_VALUE"""),"Pixel Picassos")</f>
        <v>Pixel Picassos</v>
      </c>
      <c r="D24" s="117" t="str">
        <f>IFERROR(__xludf.DUMMYFUNCTION("""COMPUTED_VALUE"""),"Fire")</f>
        <v>Fire</v>
      </c>
      <c r="E24" s="117" t="str">
        <f>IFERROR(__xludf.DUMMYFUNCTION("""COMPUTED_VALUE"""),"Orochi")</f>
        <v>Orochi</v>
      </c>
      <c r="F24" s="117" t="str">
        <f>IFERROR(__xludf.DUMMYFUNCTION("""COMPUTED_VALUE"""),"Great Whites")</f>
        <v>Great Whites</v>
      </c>
      <c r="G24" s="107"/>
      <c r="H24" s="117" t="str">
        <f>IFERROR(__xludf.DUMMYFUNCTION("""COMPUTED_VALUE"""),"Hellhounds")</f>
        <v>Hellhounds</v>
      </c>
      <c r="I24" s="117" t="str">
        <f>IFERROR(__xludf.DUMMYFUNCTION("""COMPUTED_VALUE"""),"Hydras")</f>
        <v>Hydras</v>
      </c>
      <c r="J24" s="117" t="str">
        <f>IFERROR(__xludf.DUMMYFUNCTION("""COMPUTED_VALUE"""),"Teddy Bears")</f>
        <v>Teddy Bears</v>
      </c>
      <c r="K24" s="117" t="str">
        <f>IFERROR(__xludf.DUMMYFUNCTION("""COMPUTED_VALUE"""),"Praetorian Guard")</f>
        <v>Praetorian Guard</v>
      </c>
      <c r="L24" s="107"/>
      <c r="M24" s="117" t="str">
        <f>IFERROR(__xludf.DUMMYFUNCTION("""COMPUTED_VALUE"""),"Menthol")</f>
        <v>Menthol</v>
      </c>
      <c r="N24" s="117" t="str">
        <f>IFERROR(__xludf.DUMMYFUNCTION("""COMPUTED_VALUE"""),"Frostbite")</f>
        <v>Frostbite</v>
      </c>
      <c r="O24" s="117" t="str">
        <f>IFERROR(__xludf.DUMMYFUNCTION("""COMPUTED_VALUE"""),"Dragon")</f>
        <v>Dragon</v>
      </c>
      <c r="P24" s="117" t="str">
        <f>IFERROR(__xludf.DUMMYFUNCTION("""COMPUTED_VALUE"""),"Sloths")</f>
        <v>Sloths</v>
      </c>
      <c r="Q24" s="120"/>
      <c r="R24" s="117" t="str">
        <f>IFERROR(__xludf.DUMMYFUNCTION("""COMPUTED_VALUE"""),"Swordsman")</f>
        <v>Swordsman</v>
      </c>
      <c r="S24" s="117" t="str">
        <f>IFERROR(__xludf.DUMMYFUNCTION("""COMPUTED_VALUE"""),"Drive-by")</f>
        <v>Drive-by</v>
      </c>
      <c r="T24" s="117" t="str">
        <f>IFERROR(__xludf.DUMMYFUNCTION("""COMPUTED_VALUE"""),"Desolation")</f>
        <v>Desolation</v>
      </c>
      <c r="U24" s="117" t="str">
        <f>IFERROR(__xludf.DUMMYFUNCTION("""COMPUTED_VALUE"""),"Peerless Scarred")</f>
        <v>Peerless Scarred</v>
      </c>
      <c r="V24" s="59">
        <f>IFERROR(__xludf.DUMMYFUNCTION("""COMPUTED_VALUE"""),45957.0)</f>
        <v>45957</v>
      </c>
      <c r="W24" s="73"/>
      <c r="X24" s="93"/>
      <c r="Y24" s="93"/>
      <c r="Z24" s="9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IFERROR(__xludf.DUMMYFUNCTION("""COMPUTED_VALUE"""),"Frostbite")</f>
        <v>Frostbite</v>
      </c>
      <c r="D25" s="119" t="str">
        <f>IFERROR(__xludf.DUMMYFUNCTION("""COMPUTED_VALUE"""),"Menthol")</f>
        <v>Menthol</v>
      </c>
      <c r="E25" s="119" t="str">
        <f>IFERROR(__xludf.DUMMYFUNCTION("""COMPUTED_VALUE"""),"Sloths")</f>
        <v>Sloths</v>
      </c>
      <c r="F25" s="119" t="str">
        <f>IFERROR(__xludf.DUMMYFUNCTION("""COMPUTED_VALUE"""),"Dragon")</f>
        <v>Dragon</v>
      </c>
      <c r="G25" s="123"/>
      <c r="H25" s="119" t="str">
        <f>IFERROR(__xludf.DUMMYFUNCTION("""COMPUTED_VALUE"""),"Drive-by")</f>
        <v>Drive-by</v>
      </c>
      <c r="I25" s="119" t="str">
        <f>IFERROR(__xludf.DUMMYFUNCTION("""COMPUTED_VALUE"""),"Swordsman")</f>
        <v>Swordsman</v>
      </c>
      <c r="J25" s="119" t="str">
        <f>IFERROR(__xludf.DUMMYFUNCTION("""COMPUTED_VALUE"""),"Peerless Scarred")</f>
        <v>Peerless Scarred</v>
      </c>
      <c r="K25" s="119" t="str">
        <f>IFERROR(__xludf.DUMMYFUNCTION("""COMPUTED_VALUE"""),"Desolation")</f>
        <v>Desolation</v>
      </c>
      <c r="L25" s="123"/>
      <c r="M25" s="119" t="str">
        <f>IFERROR(__xludf.DUMMYFUNCTION("""COMPUTED_VALUE"""),"Fire")</f>
        <v>Fire</v>
      </c>
      <c r="N25" s="119" t="str">
        <f>IFERROR(__xludf.DUMMYFUNCTION("""COMPUTED_VALUE"""),"Pixel Picassos")</f>
        <v>Pixel Picassos</v>
      </c>
      <c r="O25" s="119" t="str">
        <f>IFERROR(__xludf.DUMMYFUNCTION("""COMPUTED_VALUE"""),"Great Whites")</f>
        <v>Great Whites</v>
      </c>
      <c r="P25" s="119" t="str">
        <f>IFERROR(__xludf.DUMMYFUNCTION("""COMPUTED_VALUE"""),"Orochi")</f>
        <v>Orochi</v>
      </c>
      <c r="Q25" s="120"/>
      <c r="R25" s="119" t="str">
        <f>IFERROR(__xludf.DUMMYFUNCTION("""COMPUTED_VALUE"""),"Hydras")</f>
        <v>Hydras</v>
      </c>
      <c r="S25" s="119" t="str">
        <f>IFERROR(__xludf.DUMMYFUNCTION("""COMPUTED_VALUE"""),"Hellhounds")</f>
        <v>Hellhounds</v>
      </c>
      <c r="T25" s="119" t="str">
        <f>IFERROR(__xludf.DUMMYFUNCTION("""COMPUTED_VALUE"""),"Praetorian Guard")</f>
        <v>Praetorian Guard</v>
      </c>
      <c r="U25" s="119" t="str">
        <f>IFERROR(__xludf.DUMMYFUNCTION("""COMPUTED_VALUE"""),"Teddy Bears")</f>
        <v>Teddy Bears</v>
      </c>
      <c r="V25" s="59">
        <f>IFERROR(__xludf.DUMMYFUNCTION("""COMPUTED_VALUE"""),45959.0)</f>
        <v>45959</v>
      </c>
      <c r="W25" s="73"/>
      <c r="X25" s="93"/>
      <c r="Y25" s="93"/>
      <c r="Z25" s="9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IFERROR(__xludf.DUMMYFUNCTION("""COMPUTED_VALUE"""),"Dragon")</f>
        <v>Dragon</v>
      </c>
      <c r="D26" s="119" t="str">
        <f>IFERROR(__xludf.DUMMYFUNCTION("""COMPUTED_VALUE"""),"Sloths")</f>
        <v>Sloths</v>
      </c>
      <c r="E26" s="119" t="str">
        <f>IFERROR(__xludf.DUMMYFUNCTION("""COMPUTED_VALUE"""),"Menthol")</f>
        <v>Menthol</v>
      </c>
      <c r="F26" s="119" t="str">
        <f>IFERROR(__xludf.DUMMYFUNCTION("""COMPUTED_VALUE"""),"Frostbite")</f>
        <v>Frostbite</v>
      </c>
      <c r="G26" s="123"/>
      <c r="H26" s="119" t="str">
        <f>IFERROR(__xludf.DUMMYFUNCTION("""COMPUTED_VALUE"""),"Desolation")</f>
        <v>Desolation</v>
      </c>
      <c r="I26" s="119" t="str">
        <f>IFERROR(__xludf.DUMMYFUNCTION("""COMPUTED_VALUE"""),"Peerless Scarred")</f>
        <v>Peerless Scarred</v>
      </c>
      <c r="J26" s="119" t="str">
        <f>IFERROR(__xludf.DUMMYFUNCTION("""COMPUTED_VALUE"""),"Swordsman")</f>
        <v>Swordsman</v>
      </c>
      <c r="K26" s="119" t="str">
        <f>IFERROR(__xludf.DUMMYFUNCTION("""COMPUTED_VALUE"""),"Drive-by")</f>
        <v>Drive-by</v>
      </c>
      <c r="L26" s="123"/>
      <c r="M26" s="119" t="str">
        <f>IFERROR(__xludf.DUMMYFUNCTION("""COMPUTED_VALUE"""),"Orochi")</f>
        <v>Orochi</v>
      </c>
      <c r="N26" s="119" t="str">
        <f>IFERROR(__xludf.DUMMYFUNCTION("""COMPUTED_VALUE"""),"Great Whites")</f>
        <v>Great Whites</v>
      </c>
      <c r="O26" s="119" t="str">
        <f>IFERROR(__xludf.DUMMYFUNCTION("""COMPUTED_VALUE"""),"Pixel Picassos")</f>
        <v>Pixel Picassos</v>
      </c>
      <c r="P26" s="119" t="str">
        <f>IFERROR(__xludf.DUMMYFUNCTION("""COMPUTED_VALUE"""),"Fire")</f>
        <v>Fire</v>
      </c>
      <c r="Q26" s="120"/>
      <c r="R26" s="119" t="str">
        <f>IFERROR(__xludf.DUMMYFUNCTION("""COMPUTED_VALUE"""),"Teddy Bears")</f>
        <v>Teddy Bears</v>
      </c>
      <c r="S26" s="119" t="str">
        <f>IFERROR(__xludf.DUMMYFUNCTION("""COMPUTED_VALUE"""),"Praetorian Guard")</f>
        <v>Praetorian Guard</v>
      </c>
      <c r="T26" s="119" t="str">
        <f>IFERROR(__xludf.DUMMYFUNCTION("""COMPUTED_VALUE"""),"Hellhounds")</f>
        <v>Hellhounds</v>
      </c>
      <c r="U26" s="119" t="str">
        <f>IFERROR(__xludf.DUMMYFUNCTION("""COMPUTED_VALUE"""),"Hydras")</f>
        <v>Hydras</v>
      </c>
      <c r="V26" s="59">
        <f>IFERROR(__xludf.DUMMYFUNCTION("""COMPUTED_VALUE"""),45964.0)</f>
        <v>45964</v>
      </c>
      <c r="W26" s="73"/>
      <c r="X26" s="93"/>
      <c r="Y26" s="93"/>
      <c r="Z26" s="93"/>
    </row>
    <row r="27">
      <c r="A27" s="73"/>
      <c r="B27" s="55" t="str">
        <f>IFERROR(__xludf.DUMMYFUNCTION("""COMPUTED_VALUE"""),"Match Day 16")</f>
        <v>Match Day 16</v>
      </c>
      <c r="C27" s="118" t="str">
        <f>IFERROR(__xludf.DUMMYFUNCTION("""COMPUTED_VALUE"""),"Menthol")</f>
        <v>Menthol</v>
      </c>
      <c r="D27" s="119" t="str">
        <f>IFERROR(__xludf.DUMMYFUNCTION("""COMPUTED_VALUE"""),"Frostbite")</f>
        <v>Frostbite</v>
      </c>
      <c r="E27" s="119" t="str">
        <f>IFERROR(__xludf.DUMMYFUNCTION("""COMPUTED_VALUE"""),"Dragon")</f>
        <v>Dragon</v>
      </c>
      <c r="F27" s="119" t="str">
        <f>IFERROR(__xludf.DUMMYFUNCTION("""COMPUTED_VALUE"""),"Sloths")</f>
        <v>Sloths</v>
      </c>
      <c r="G27" s="123"/>
      <c r="H27" s="119" t="str">
        <f>IFERROR(__xludf.DUMMYFUNCTION("""COMPUTED_VALUE"""),"Swordsman")</f>
        <v>Swordsman</v>
      </c>
      <c r="I27" s="119" t="str">
        <f>IFERROR(__xludf.DUMMYFUNCTION("""COMPUTED_VALUE"""),"Drive-by")</f>
        <v>Drive-by</v>
      </c>
      <c r="J27" s="119" t="str">
        <f>IFERROR(__xludf.DUMMYFUNCTION("""COMPUTED_VALUE"""),"Desolation")</f>
        <v>Desolation</v>
      </c>
      <c r="K27" s="119" t="str">
        <f>IFERROR(__xludf.DUMMYFUNCTION("""COMPUTED_VALUE"""),"Peerless Scarred")</f>
        <v>Peerless Scarred</v>
      </c>
      <c r="L27" s="123"/>
      <c r="M27" s="119" t="str">
        <f>IFERROR(__xludf.DUMMYFUNCTION("""COMPUTED_VALUE"""),"Pixel Picassos")</f>
        <v>Pixel Picassos</v>
      </c>
      <c r="N27" s="119" t="str">
        <f>IFERROR(__xludf.DUMMYFUNCTION("""COMPUTED_VALUE"""),"Fire")</f>
        <v>Fire</v>
      </c>
      <c r="O27" s="119" t="str">
        <f>IFERROR(__xludf.DUMMYFUNCTION("""COMPUTED_VALUE"""),"Orochi")</f>
        <v>Orochi</v>
      </c>
      <c r="P27" s="119" t="str">
        <f>IFERROR(__xludf.DUMMYFUNCTION("""COMPUTED_VALUE"""),"Great Whites")</f>
        <v>Great Whites</v>
      </c>
      <c r="Q27" s="120"/>
      <c r="R27" s="119" t="str">
        <f>IFERROR(__xludf.DUMMYFUNCTION("""COMPUTED_VALUE"""),"Hellhounds")</f>
        <v>Hellhounds</v>
      </c>
      <c r="S27" s="119" t="str">
        <f>IFERROR(__xludf.DUMMYFUNCTION("""COMPUTED_VALUE"""),"Hydras")</f>
        <v>Hydras</v>
      </c>
      <c r="T27" s="119" t="str">
        <f>IFERROR(__xludf.DUMMYFUNCTION("""COMPUTED_VALUE"""),"Teddy Bears")</f>
        <v>Teddy Bears</v>
      </c>
      <c r="U27" s="119" t="str">
        <f>IFERROR(__xludf.DUMMYFUNCTION("""COMPUTED_VALUE"""),"Praetorian Guard")</f>
        <v>Praetorian Guard</v>
      </c>
      <c r="V27" s="59">
        <f>IFERROR(__xludf.DUMMYFUNCTION("""COMPUTED_VALUE"""),45966.0)</f>
        <v>45966</v>
      </c>
      <c r="W27" s="73"/>
      <c r="X27" s="93"/>
      <c r="Y27" s="93"/>
      <c r="Z27" s="93"/>
    </row>
    <row r="28">
      <c r="A28" s="73"/>
      <c r="B28" s="55" t="str">
        <f>IFERROR(__xludf.DUMMYFUNCTION("""COMPUTED_VALUE"""),"Match Day 17")</f>
        <v>Match Day 17</v>
      </c>
      <c r="C28" s="124" t="str">
        <f>IFERROR(__xludf.DUMMYFUNCTION("""COMPUTED_VALUE"""),"Wild-Card (9:45 PM ET) / Quarterfinals (10:30 PM ET)")</f>
        <v>Wild-Card (9:45 PM ET) / Quarterfinals (10:30 PM ET)</v>
      </c>
      <c r="D28" s="27"/>
      <c r="E28" s="27"/>
      <c r="F28" s="27"/>
      <c r="G28" s="27"/>
      <c r="H28" s="27"/>
      <c r="I28" s="27"/>
      <c r="J28" s="27"/>
      <c r="K28" s="90"/>
      <c r="L28" s="73"/>
      <c r="M28" s="124" t="str">
        <f>IFERROR(__xludf.DUMMYFUNCTION("""COMPUTED_VALUE"""),"Wild-Card (9:45 PM ET) / Quarterfinals (10:30 PM ET)")</f>
        <v>Wild-Card (9:45 PM ET) / Quarterfinals (10:30 PM ET)</v>
      </c>
      <c r="N28" s="27"/>
      <c r="O28" s="27"/>
      <c r="P28" s="27"/>
      <c r="Q28" s="27"/>
      <c r="R28" s="27"/>
      <c r="S28" s="27"/>
      <c r="T28" s="27"/>
      <c r="U28" s="90"/>
      <c r="V28" s="59">
        <f>IFERROR(__xludf.DUMMYFUNCTION("""COMPUTED_VALUE"""),45971.0)</f>
        <v>45971</v>
      </c>
      <c r="W28" s="73"/>
      <c r="X28" s="93"/>
      <c r="Y28" s="93"/>
      <c r="Z28" s="93"/>
    </row>
    <row r="29">
      <c r="A29" s="73"/>
      <c r="B29" s="55" t="str">
        <f>IFERROR(__xludf.DUMMYFUNCTION("""COMPUTED_VALUE"""),"Match Day 18")</f>
        <v>Match Day 18</v>
      </c>
      <c r="C29" s="124" t="str">
        <f>IFERROR(__xludf.DUMMYFUNCTION("""COMPUTED_VALUE"""),"Semifinals (9:30 PM ET / Finals 10:30PM ET)")</f>
        <v>Semifinals (9:30 PM ET / Finals 10:30PM ET)</v>
      </c>
      <c r="D29" s="27"/>
      <c r="E29" s="27"/>
      <c r="F29" s="27"/>
      <c r="G29" s="27"/>
      <c r="H29" s="27"/>
      <c r="I29" s="27"/>
      <c r="J29" s="27"/>
      <c r="K29" s="90"/>
      <c r="L29" s="73"/>
      <c r="M29" s="124" t="str">
        <f>IFERROR(__xludf.DUMMYFUNCTION("""COMPUTED_VALUE"""),"Semifinals (9:30 PM ET / Finals 10:30PM ET)")</f>
        <v>Semifinals (9:30 PM ET / Finals 10:30PM ET)</v>
      </c>
      <c r="N29" s="27"/>
      <c r="O29" s="27"/>
      <c r="P29" s="27"/>
      <c r="Q29" s="27"/>
      <c r="R29" s="27"/>
      <c r="S29" s="27"/>
      <c r="T29" s="27"/>
      <c r="U29" s="90"/>
      <c r="V29" s="59">
        <f>IFERROR(__xludf.DUMMYFUNCTION("""COMPUTED_VALUE"""),45973.0)</f>
        <v>45973</v>
      </c>
      <c r="W29" s="73"/>
      <c r="X29" s="93"/>
      <c r="Y29" s="93"/>
      <c r="Z29" s="93"/>
    </row>
    <row r="30">
      <c r="A30" s="73"/>
      <c r="B30" s="73"/>
      <c r="C30" s="73"/>
      <c r="D30" s="73"/>
      <c r="E30" s="73"/>
      <c r="F30" s="73"/>
      <c r="G30" s="73"/>
      <c r="H30" s="73"/>
      <c r="I30" s="4"/>
      <c r="J30" s="4"/>
      <c r="K30" s="4"/>
      <c r="L30" s="4"/>
      <c r="M30" s="4"/>
      <c r="N30" s="4"/>
      <c r="O30" s="4"/>
      <c r="P30" s="73"/>
      <c r="Q30" s="73"/>
      <c r="R30" s="73"/>
      <c r="S30" s="73"/>
      <c r="T30" s="73"/>
      <c r="U30" s="73"/>
      <c r="V30" s="101"/>
      <c r="W30" s="73"/>
      <c r="X30" s="93"/>
      <c r="Y30" s="93"/>
      <c r="Z30" s="93"/>
    </row>
    <row r="31">
      <c r="A31" s="73"/>
      <c r="B31" s="48" t="str">
        <f>IFERROR(__xludf.DUMMYFUNCTION("""COMPUTED_VALUE"""),"Preseason")</f>
        <v>Preseason</v>
      </c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48" t="str">
        <f>IFERROR(__xludf.DUMMYFUNCTION("""COMPUTED_VALUE"""),"Preseason")</f>
        <v>Preseason</v>
      </c>
      <c r="W31" s="73"/>
      <c r="X31" s="93"/>
      <c r="Y31" s="93"/>
      <c r="Z31" s="93"/>
    </row>
    <row r="32">
      <c r="A32" s="73"/>
      <c r="B32" s="96" t="str">
        <f>IFERROR(__xludf.DUMMYFUNCTION("""COMPUTED_VALUE"""),"In Division")</f>
        <v>In Division</v>
      </c>
      <c r="C32" s="73"/>
      <c r="D32" s="73"/>
      <c r="E32" s="73"/>
      <c r="F32" s="73"/>
      <c r="G32" s="73"/>
      <c r="H32" s="73"/>
      <c r="I32" s="125" t="str">
        <f>IFERROR(__xludf.DUMMYFUNCTION("""COMPUTED_VALUE"""),"Lunar Conference")</f>
        <v>Lunar Conference</v>
      </c>
      <c r="P32" s="73"/>
      <c r="Q32" s="73"/>
      <c r="R32" s="73"/>
      <c r="S32" s="73"/>
      <c r="T32" s="73"/>
      <c r="U32" s="73"/>
      <c r="V32" s="96" t="str">
        <f>IFERROR(__xludf.DUMMYFUNCTION("""COMPUTED_VALUE"""),"In Division")</f>
        <v>In Division</v>
      </c>
      <c r="W32" s="73"/>
      <c r="X32" s="93"/>
      <c r="Y32" s="93"/>
      <c r="Z32" s="93"/>
    </row>
    <row r="33" ht="15.75" customHeight="1">
      <c r="A33" s="73"/>
      <c r="B33" s="78" t="str">
        <f>IFERROR(__xludf.DUMMYFUNCTION("""COMPUTED_VALUE"""),"In Conference")</f>
        <v>In Conference</v>
      </c>
      <c r="C33" s="4"/>
      <c r="D33" s="4"/>
      <c r="E33" s="4"/>
      <c r="F33" s="4"/>
      <c r="G33" s="4"/>
      <c r="H33" s="4"/>
      <c r="P33" s="4"/>
      <c r="Q33" s="4"/>
      <c r="R33" s="4"/>
      <c r="S33" s="4"/>
      <c r="T33" s="4"/>
      <c r="U33" s="4"/>
      <c r="V33" s="78" t="str">
        <f>IFERROR(__xludf.DUMMYFUNCTION("""COMPUTED_VALUE"""),"In Conference")</f>
        <v>In Conference</v>
      </c>
      <c r="W33" s="73"/>
      <c r="X33" s="93"/>
      <c r="Y33" s="93"/>
      <c r="Z33" s="93"/>
    </row>
    <row r="34" ht="15.75" customHeight="1">
      <c r="A34" s="73"/>
      <c r="B34" s="97" t="str">
        <f>IFERROR(__xludf.DUMMYFUNCTION("""COMPUTED_VALUE"""),"Out of Conference")</f>
        <v>Out of Conference</v>
      </c>
      <c r="C34" s="98" t="str">
        <f>IFERROR(__xludf.DUMMYFUNCTION("""COMPUTED_VALUE"""),"Cloud Division")</f>
        <v>Cloud Division</v>
      </c>
      <c r="G34" s="43"/>
      <c r="H34" s="99" t="str">
        <f>IFERROR(__xludf.DUMMYFUNCTION("""COMPUTED_VALUE"""),"Ember Division")</f>
        <v>Ember Division</v>
      </c>
      <c r="L34" s="73"/>
      <c r="M34" s="100" t="str">
        <f>IFERROR(__xludf.DUMMYFUNCTION("""COMPUTED_VALUE"""),"Mountain Division")</f>
        <v>Mountain Division</v>
      </c>
      <c r="Q34" s="101"/>
      <c r="R34" s="102" t="str">
        <f>IFERROR(__xludf.DUMMYFUNCTION("""COMPUTED_VALUE"""),"Ocean Division")</f>
        <v>Ocean Division</v>
      </c>
      <c r="V34" s="97" t="str">
        <f>IFERROR(__xludf.DUMMYFUNCTION("""COMPUTED_VALUE"""),"Out of Conference")</f>
        <v>Out of Conference</v>
      </c>
      <c r="W34" s="73"/>
      <c r="X34" s="93"/>
      <c r="Y34" s="93"/>
      <c r="Z34" s="93"/>
    </row>
    <row r="35">
      <c r="A35" s="73"/>
      <c r="B35" s="80" t="str">
        <f>IFERROR(__xludf.DUMMYFUNCTION("""COMPUTED_VALUE"""),"Playoffs")</f>
        <v>Playoffs</v>
      </c>
      <c r="C35" s="103" t="str">
        <f>IFERROR(__xludf.DUMMYFUNCTION("""COMPUTED_VALUE"""),"Embezzlers")</f>
        <v>Embezzlers</v>
      </c>
      <c r="D35" s="103" t="str">
        <f>IFERROR(__xludf.DUMMYFUNCTION("""COMPUTED_VALUE"""),"Cotija Cartel")</f>
        <v>Cotija Cartel</v>
      </c>
      <c r="E35" s="103" t="str">
        <f>IFERROR(__xludf.DUMMYFUNCTION("""COMPUTED_VALUE"""),"Ghastly Goombahs")</f>
        <v>Ghastly Goombahs</v>
      </c>
      <c r="F35" s="103" t="str">
        <f>IFERROR(__xludf.DUMMYFUNCTION("""COMPUTED_VALUE"""),"Raptors")</f>
        <v>Raptors</v>
      </c>
      <c r="G35" s="73"/>
      <c r="H35" s="103" t="str">
        <f>IFERROR(__xludf.DUMMYFUNCTION("""COMPUTED_VALUE"""),"Forge Defenders")</f>
        <v>Forge Defenders</v>
      </c>
      <c r="I35" s="103" t="str">
        <f>IFERROR(__xludf.DUMMYFUNCTION("""COMPUTED_VALUE"""),"Thrashers")</f>
        <v>Thrashers</v>
      </c>
      <c r="J35" s="103" t="str">
        <f>IFERROR(__xludf.DUMMYFUNCTION("""COMPUTED_VALUE"""),"Black-Holes")</f>
        <v>Black-Holes</v>
      </c>
      <c r="K35" s="103" t="str">
        <f>IFERROR(__xludf.DUMMYFUNCTION("""COMPUTED_VALUE"""),"Immortals")</f>
        <v>Immortals</v>
      </c>
      <c r="L35" s="104"/>
      <c r="M35" s="103" t="str">
        <f>IFERROR(__xludf.DUMMYFUNCTION("""COMPUTED_VALUE"""),"Gelato")</f>
        <v>Gelato</v>
      </c>
      <c r="N35" s="103" t="str">
        <f>IFERROR(__xludf.DUMMYFUNCTION("""COMPUTED_VALUE"""),"Demons")</f>
        <v>Demons</v>
      </c>
      <c r="O35" s="103" t="str">
        <f>IFERROR(__xludf.DUMMYFUNCTION("""COMPUTED_VALUE"""),"Afterburners")</f>
        <v>Afterburners</v>
      </c>
      <c r="P35" s="103" t="str">
        <f>IFERROR(__xludf.DUMMYFUNCTION("""COMPUTED_VALUE"""),"Despair")</f>
        <v>Despair</v>
      </c>
      <c r="Q35" s="105"/>
      <c r="R35" s="103" t="str">
        <f>IFERROR(__xludf.DUMMYFUNCTION("""COMPUTED_VALUE"""),"Krakens")</f>
        <v>Krakens</v>
      </c>
      <c r="S35" s="103" t="str">
        <f>IFERROR(__xludf.DUMMYFUNCTION("""COMPUTED_VALUE"""),"Dik-diks")</f>
        <v>Dik-diks</v>
      </c>
      <c r="T35" s="103" t="str">
        <f>IFERROR(__xludf.DUMMYFUNCTION("""COMPUTED_VALUE"""),"Forest Cobra")</f>
        <v>Forest Cobra</v>
      </c>
      <c r="U35" s="81" t="str">
        <f>IFERROR(__xludf.DUMMYFUNCTION("""COMPUTED_VALUE"""),"Commanders")</f>
        <v>Commanders</v>
      </c>
      <c r="V35" s="80" t="str">
        <f>IFERROR(__xludf.DUMMYFUNCTION("""COMPUTED_VALUE"""),"Playoffs")</f>
        <v>Playoffs</v>
      </c>
      <c r="W35" s="73"/>
      <c r="X35" s="93"/>
      <c r="Y35" s="93"/>
      <c r="Z35" s="93"/>
    </row>
    <row r="36">
      <c r="A36" s="73"/>
      <c r="B36" s="55" t="str">
        <f>IFERROR(__xludf.DUMMYFUNCTION("""COMPUTED_VALUE"""),"Preseason 1")</f>
        <v>Preseason 1</v>
      </c>
      <c r="C36" s="82" t="str">
        <f>IFERROR(__xludf.DUMMYFUNCTION("""COMPUTED_VALUE"""),"Cotija Cartel")</f>
        <v>Cotija Cartel</v>
      </c>
      <c r="D36" s="83" t="str">
        <f>IFERROR(__xludf.DUMMYFUNCTION("""COMPUTED_VALUE"""),"Embezzlers")</f>
        <v>Embezzlers</v>
      </c>
      <c r="E36" s="83" t="str">
        <f>IFERROR(__xludf.DUMMYFUNCTION("""COMPUTED_VALUE"""),"Raptors")</f>
        <v>Raptors</v>
      </c>
      <c r="F36" s="83" t="str">
        <f>IFERROR(__xludf.DUMMYFUNCTION("""COMPUTED_VALUE"""),"Ghastly Goombahs")</f>
        <v>Ghastly Goombahs</v>
      </c>
      <c r="G36" s="107"/>
      <c r="H36" s="83" t="str">
        <f>IFERROR(__xludf.DUMMYFUNCTION("""COMPUTED_VALUE"""),"Thrashers")</f>
        <v>Thrashers</v>
      </c>
      <c r="I36" s="83" t="str">
        <f>IFERROR(__xludf.DUMMYFUNCTION("""COMPUTED_VALUE"""),"Forge Defenders")</f>
        <v>Forge Defenders</v>
      </c>
      <c r="J36" s="83" t="str">
        <f>IFERROR(__xludf.DUMMYFUNCTION("""COMPUTED_VALUE"""),"Immortals")</f>
        <v>Immortals</v>
      </c>
      <c r="K36" s="83" t="str">
        <f>IFERROR(__xludf.DUMMYFUNCTION("""COMPUTED_VALUE"""),"Black-Holes")</f>
        <v>Black-Holes</v>
      </c>
      <c r="L36" s="107"/>
      <c r="M36" s="83" t="str">
        <f>IFERROR(__xludf.DUMMYFUNCTION("""COMPUTED_VALUE"""),"Demons")</f>
        <v>Demons</v>
      </c>
      <c r="N36" s="83" t="str">
        <f>IFERROR(__xludf.DUMMYFUNCTION("""COMPUTED_VALUE"""),"Gelato")</f>
        <v>Gelato</v>
      </c>
      <c r="O36" s="83" t="str">
        <f>IFERROR(__xludf.DUMMYFUNCTION("""COMPUTED_VALUE"""),"Despair")</f>
        <v>Despair</v>
      </c>
      <c r="P36" s="83" t="str">
        <f>IFERROR(__xludf.DUMMYFUNCTION("""COMPUTED_VALUE"""),"Afterburners")</f>
        <v>Afterburners</v>
      </c>
      <c r="Q36" s="108"/>
      <c r="R36" s="83" t="str">
        <f>IFERROR(__xludf.DUMMYFUNCTION("""COMPUTED_VALUE"""),"Dik-diks")</f>
        <v>Dik-diks</v>
      </c>
      <c r="S36" s="83" t="str">
        <f>IFERROR(__xludf.DUMMYFUNCTION("""COMPUTED_VALUE"""),"Krakens")</f>
        <v>Krakens</v>
      </c>
      <c r="T36" s="83" t="str">
        <f>IFERROR(__xludf.DUMMYFUNCTION("""COMPUTED_VALUE"""),"Commanders")</f>
        <v>Commanders</v>
      </c>
      <c r="U36" s="83" t="str">
        <f>IFERROR(__xludf.DUMMYFUNCTION("""COMPUTED_VALUE"""),"Forest Cobra")</f>
        <v>Forest Cobra</v>
      </c>
      <c r="V36" s="109">
        <f>IFERROR(__xludf.DUMMYFUNCTION("""COMPUTED_VALUE"""),45896.0)</f>
        <v>45896</v>
      </c>
      <c r="W36" s="73"/>
      <c r="X36" s="93"/>
      <c r="Y36" s="93"/>
      <c r="Z36" s="93"/>
    </row>
    <row r="37">
      <c r="A37" s="73"/>
      <c r="B37" s="55" t="str">
        <f>IFERROR(__xludf.DUMMYFUNCTION("""COMPUTED_VALUE"""),"Preseason 2")</f>
        <v>Preseason 2</v>
      </c>
      <c r="C37" s="82" t="str">
        <f>IFERROR(__xludf.DUMMYFUNCTION("""COMPUTED_VALUE"""),"Forest Cobra")</f>
        <v>Forest Cobra</v>
      </c>
      <c r="D37" s="83" t="str">
        <f>IFERROR(__xludf.DUMMYFUNCTION("""COMPUTED_VALUE"""),"Commanders")</f>
        <v>Commanders</v>
      </c>
      <c r="E37" s="83" t="str">
        <f>IFERROR(__xludf.DUMMYFUNCTION("""COMPUTED_VALUE"""),"Krakens")</f>
        <v>Krakens</v>
      </c>
      <c r="F37" s="83" t="str">
        <f>IFERROR(__xludf.DUMMYFUNCTION("""COMPUTED_VALUE"""),"Dik-diks")</f>
        <v>Dik-diks</v>
      </c>
      <c r="G37" s="73"/>
      <c r="H37" s="82" t="str">
        <f>IFERROR(__xludf.DUMMYFUNCTION("""COMPUTED_VALUE"""),"Afterburners")</f>
        <v>Afterburners</v>
      </c>
      <c r="I37" s="83" t="str">
        <f>IFERROR(__xludf.DUMMYFUNCTION("""COMPUTED_VALUE"""),"Despair")</f>
        <v>Despair</v>
      </c>
      <c r="J37" s="83" t="str">
        <f>IFERROR(__xludf.DUMMYFUNCTION("""COMPUTED_VALUE"""),"Gelato")</f>
        <v>Gelato</v>
      </c>
      <c r="K37" s="83" t="str">
        <f>IFERROR(__xludf.DUMMYFUNCTION("""COMPUTED_VALUE"""),"Demons")</f>
        <v>Demons</v>
      </c>
      <c r="L37" s="73"/>
      <c r="M37" s="82" t="str">
        <f>IFERROR(__xludf.DUMMYFUNCTION("""COMPUTED_VALUE"""),"Black-Holes")</f>
        <v>Black-Holes</v>
      </c>
      <c r="N37" s="83" t="str">
        <f>IFERROR(__xludf.DUMMYFUNCTION("""COMPUTED_VALUE"""),"Immortals")</f>
        <v>Immortals</v>
      </c>
      <c r="O37" s="83" t="str">
        <f>IFERROR(__xludf.DUMMYFUNCTION("""COMPUTED_VALUE"""),"Forge Defenders")</f>
        <v>Forge Defenders</v>
      </c>
      <c r="P37" s="83" t="str">
        <f>IFERROR(__xludf.DUMMYFUNCTION("""COMPUTED_VALUE"""),"Thrashers")</f>
        <v>Thrashers</v>
      </c>
      <c r="Q37" s="101"/>
      <c r="R37" s="82" t="str">
        <f>IFERROR(__xludf.DUMMYFUNCTION("""COMPUTED_VALUE"""),"Ghastly Goombahs")</f>
        <v>Ghastly Goombahs</v>
      </c>
      <c r="S37" s="83" t="str">
        <f>IFERROR(__xludf.DUMMYFUNCTION("""COMPUTED_VALUE"""),"Raptors")</f>
        <v>Raptors</v>
      </c>
      <c r="T37" s="83" t="str">
        <f>IFERROR(__xludf.DUMMYFUNCTION("""COMPUTED_VALUE"""),"Embezzlers")</f>
        <v>Embezzlers</v>
      </c>
      <c r="U37" s="83" t="str">
        <f>IFERROR(__xludf.DUMMYFUNCTION("""COMPUTED_VALUE"""),"Cotija Cartel")</f>
        <v>Cotija Cartel</v>
      </c>
      <c r="V37" s="109">
        <f>IFERROR(__xludf.DUMMYFUNCTION("""COMPUTED_VALUE"""),45903.0)</f>
        <v>45903</v>
      </c>
      <c r="W37" s="73"/>
      <c r="X37" s="93"/>
      <c r="Y37" s="93"/>
      <c r="Z37" s="93"/>
    </row>
    <row r="38">
      <c r="A38" s="73"/>
      <c r="B38" s="55" t="str">
        <f>IFERROR(__xludf.DUMMYFUNCTION("""COMPUTED_VALUE"""),"Preseason 3")</f>
        <v>Preseason 3</v>
      </c>
      <c r="C38" s="82" t="str">
        <f>IFERROR(__xludf.DUMMYFUNCTION("""COMPUTED_VALUE"""),"Desolation")</f>
        <v>Desolation</v>
      </c>
      <c r="D38" s="83" t="str">
        <f>IFERROR(__xludf.DUMMYFUNCTION("""COMPUTED_VALUE"""),"Peerless Scarred")</f>
        <v>Peerless Scarred</v>
      </c>
      <c r="E38" s="83" t="str">
        <f>IFERROR(__xludf.DUMMYFUNCTION("""COMPUTED_VALUE"""),"Drive-by")</f>
        <v>Drive-by</v>
      </c>
      <c r="F38" s="83" t="str">
        <f>IFERROR(__xludf.DUMMYFUNCTION("""COMPUTED_VALUE"""),"Swordsman")</f>
        <v>Swordsman</v>
      </c>
      <c r="G38" s="73"/>
      <c r="H38" s="82" t="str">
        <f>IFERROR(__xludf.DUMMYFUNCTION("""COMPUTED_VALUE"""),"Dragon")</f>
        <v>Dragon</v>
      </c>
      <c r="I38" s="83" t="str">
        <f>IFERROR(__xludf.DUMMYFUNCTION("""COMPUTED_VALUE"""),"Sloths")</f>
        <v>Sloths</v>
      </c>
      <c r="J38" s="83" t="str">
        <f>IFERROR(__xludf.DUMMYFUNCTION("""COMPUTED_VALUE"""),"Frostbite")</f>
        <v>Frostbite</v>
      </c>
      <c r="K38" s="83" t="str">
        <f>IFERROR(__xludf.DUMMYFUNCTION("""COMPUTED_VALUE"""),"Menthol")</f>
        <v>Menthol</v>
      </c>
      <c r="L38" s="73"/>
      <c r="M38" s="82" t="str">
        <f>IFERROR(__xludf.DUMMYFUNCTION("""COMPUTED_VALUE"""),"Teddy Bears")</f>
        <v>Teddy Bears</v>
      </c>
      <c r="N38" s="83" t="str">
        <f>IFERROR(__xludf.DUMMYFUNCTION("""COMPUTED_VALUE"""),"Praetorian Guard")</f>
        <v>Praetorian Guard</v>
      </c>
      <c r="O38" s="83" t="str">
        <f>IFERROR(__xludf.DUMMYFUNCTION("""COMPUTED_VALUE"""),"Hydras")</f>
        <v>Hydras</v>
      </c>
      <c r="P38" s="83" t="str">
        <f>IFERROR(__xludf.DUMMYFUNCTION("""COMPUTED_VALUE"""),"Hellhounds")</f>
        <v>Hellhounds</v>
      </c>
      <c r="Q38" s="101"/>
      <c r="R38" s="82" t="str">
        <f>IFERROR(__xludf.DUMMYFUNCTION("""COMPUTED_VALUE"""),"Orochi")</f>
        <v>Orochi</v>
      </c>
      <c r="S38" s="83" t="str">
        <f>IFERROR(__xludf.DUMMYFUNCTION("""COMPUTED_VALUE"""),"Great Whites")</f>
        <v>Great Whites</v>
      </c>
      <c r="T38" s="83" t="str">
        <f>IFERROR(__xludf.DUMMYFUNCTION("""COMPUTED_VALUE"""),"Fire")</f>
        <v>Fire</v>
      </c>
      <c r="U38" s="83" t="str">
        <f>IFERROR(__xludf.DUMMYFUNCTION("""COMPUTED_VALUE"""),"Pixel Picassos")</f>
        <v>Pixel Picassos</v>
      </c>
      <c r="V38" s="109">
        <f>IFERROR(__xludf.DUMMYFUNCTION("""COMPUTED_VALUE"""),45908.0)</f>
        <v>45908</v>
      </c>
      <c r="W38" s="73"/>
      <c r="X38" s="93"/>
      <c r="Y38" s="93"/>
      <c r="Z38" s="93"/>
    </row>
    <row r="39">
      <c r="A39" s="73"/>
      <c r="B39" s="55" t="str">
        <f>IFERROR(__xludf.DUMMYFUNCTION("""COMPUTED_VALUE"""),"Match Day 1")</f>
        <v>Match Day 1</v>
      </c>
      <c r="C39" s="85" t="str">
        <f>IFERROR(__xludf.DUMMYFUNCTION("""COMPUTED_VALUE"""),"Thrashers")</f>
        <v>Thrashers</v>
      </c>
      <c r="D39" s="86" t="str">
        <f>IFERROR(__xludf.DUMMYFUNCTION("""COMPUTED_VALUE"""),"Forge Defenders")</f>
        <v>Forge Defenders</v>
      </c>
      <c r="E39" s="86" t="str">
        <f>IFERROR(__xludf.DUMMYFUNCTION("""COMPUTED_VALUE"""),"Immortals")</f>
        <v>Immortals</v>
      </c>
      <c r="F39" s="86" t="str">
        <f>IFERROR(__xludf.DUMMYFUNCTION("""COMPUTED_VALUE"""),"Black-Holes")</f>
        <v>Black-Holes</v>
      </c>
      <c r="G39" s="114"/>
      <c r="H39" s="86" t="str">
        <f>IFERROR(__xludf.DUMMYFUNCTION("""COMPUTED_VALUE"""),"Cotija Cartel")</f>
        <v>Cotija Cartel</v>
      </c>
      <c r="I39" s="86" t="str">
        <f>IFERROR(__xludf.DUMMYFUNCTION("""COMPUTED_VALUE"""),"Embezzlers")</f>
        <v>Embezzlers</v>
      </c>
      <c r="J39" s="86" t="str">
        <f>IFERROR(__xludf.DUMMYFUNCTION("""COMPUTED_VALUE"""),"Raptors")</f>
        <v>Raptors</v>
      </c>
      <c r="K39" s="86" t="str">
        <f>IFERROR(__xludf.DUMMYFUNCTION("""COMPUTED_VALUE"""),"Ghastly Goombahs")</f>
        <v>Ghastly Goombahs</v>
      </c>
      <c r="L39" s="114"/>
      <c r="M39" s="86" t="str">
        <f>IFERROR(__xludf.DUMMYFUNCTION("""COMPUTED_VALUE"""),"Dik-diks")</f>
        <v>Dik-diks</v>
      </c>
      <c r="N39" s="86" t="str">
        <f>IFERROR(__xludf.DUMMYFUNCTION("""COMPUTED_VALUE"""),"Krakens")</f>
        <v>Krakens</v>
      </c>
      <c r="O39" s="86" t="str">
        <f>IFERROR(__xludf.DUMMYFUNCTION("""COMPUTED_VALUE"""),"Commanders")</f>
        <v>Commanders</v>
      </c>
      <c r="P39" s="86" t="str">
        <f>IFERROR(__xludf.DUMMYFUNCTION("""COMPUTED_VALUE"""),"Forest Cobra")</f>
        <v>Forest Cobra</v>
      </c>
      <c r="Q39" s="115"/>
      <c r="R39" s="86" t="str">
        <f>IFERROR(__xludf.DUMMYFUNCTION("""COMPUTED_VALUE"""),"Demons")</f>
        <v>Demons</v>
      </c>
      <c r="S39" s="86" t="str">
        <f>IFERROR(__xludf.DUMMYFUNCTION("""COMPUTED_VALUE"""),"Gelato")</f>
        <v>Gelato</v>
      </c>
      <c r="T39" s="86" t="str">
        <f>IFERROR(__xludf.DUMMYFUNCTION("""COMPUTED_VALUE"""),"Despair")</f>
        <v>Despair</v>
      </c>
      <c r="U39" s="86" t="str">
        <f>IFERROR(__xludf.DUMMYFUNCTION("""COMPUTED_VALUE"""),"Afterburners")</f>
        <v>Afterburners</v>
      </c>
      <c r="V39" s="109">
        <f>IFERROR(__xludf.DUMMYFUNCTION("""COMPUTED_VALUE"""),45910.0)</f>
        <v>45910</v>
      </c>
      <c r="W39" s="73"/>
      <c r="X39" s="93"/>
      <c r="Y39" s="93"/>
      <c r="Z39" s="93"/>
    </row>
    <row r="40">
      <c r="A40" s="73"/>
      <c r="B40" s="55" t="str">
        <f>IFERROR(__xludf.DUMMYFUNCTION("""COMPUTED_VALUE"""),"Match Day 2")</f>
        <v>Match Day 2</v>
      </c>
      <c r="C40" s="87" t="str">
        <f>IFERROR(__xludf.DUMMYFUNCTION("""COMPUTED_VALUE"""),"Krakens")</f>
        <v>Krakens</v>
      </c>
      <c r="D40" s="88" t="str">
        <f>IFERROR(__xludf.DUMMYFUNCTION("""COMPUTED_VALUE"""),"Dik-diks")</f>
        <v>Dik-diks</v>
      </c>
      <c r="E40" s="88" t="str">
        <f>IFERROR(__xludf.DUMMYFUNCTION("""COMPUTED_VALUE"""),"Forest Cobra")</f>
        <v>Forest Cobra</v>
      </c>
      <c r="F40" s="88" t="str">
        <f>IFERROR(__xludf.DUMMYFUNCTION("""COMPUTED_VALUE"""),"Commanders")</f>
        <v>Commanders</v>
      </c>
      <c r="G40" s="107"/>
      <c r="H40" s="88" t="str">
        <f>IFERROR(__xludf.DUMMYFUNCTION("""COMPUTED_VALUE"""),"Gelato")</f>
        <v>Gelato</v>
      </c>
      <c r="I40" s="88" t="str">
        <f>IFERROR(__xludf.DUMMYFUNCTION("""COMPUTED_VALUE"""),"Demons")</f>
        <v>Demons</v>
      </c>
      <c r="J40" s="88" t="str">
        <f>IFERROR(__xludf.DUMMYFUNCTION("""COMPUTED_VALUE"""),"Afterburners")</f>
        <v>Afterburners</v>
      </c>
      <c r="K40" s="88" t="str">
        <f>IFERROR(__xludf.DUMMYFUNCTION("""COMPUTED_VALUE"""),"Despair")</f>
        <v>Despair</v>
      </c>
      <c r="L40" s="107"/>
      <c r="M40" s="88" t="str">
        <f>IFERROR(__xludf.DUMMYFUNCTION("""COMPUTED_VALUE"""),"Forge Defenders")</f>
        <v>Forge Defenders</v>
      </c>
      <c r="N40" s="88" t="str">
        <f>IFERROR(__xludf.DUMMYFUNCTION("""COMPUTED_VALUE"""),"Thrashers")</f>
        <v>Thrashers</v>
      </c>
      <c r="O40" s="88" t="str">
        <f>IFERROR(__xludf.DUMMYFUNCTION("""COMPUTED_VALUE"""),"Black-Holes")</f>
        <v>Black-Holes</v>
      </c>
      <c r="P40" s="88" t="str">
        <f>IFERROR(__xludf.DUMMYFUNCTION("""COMPUTED_VALUE"""),"Immortals")</f>
        <v>Immortals</v>
      </c>
      <c r="Q40" s="108"/>
      <c r="R40" s="88" t="str">
        <f>IFERROR(__xludf.DUMMYFUNCTION("""COMPUTED_VALUE"""),"Embezzlers")</f>
        <v>Embezzlers</v>
      </c>
      <c r="S40" s="88" t="str">
        <f>IFERROR(__xludf.DUMMYFUNCTION("""COMPUTED_VALUE"""),"Cotija Cartel")</f>
        <v>Cotija Cartel</v>
      </c>
      <c r="T40" s="88" t="str">
        <f>IFERROR(__xludf.DUMMYFUNCTION("""COMPUTED_VALUE"""),"Ghastly Goombahs")</f>
        <v>Ghastly Goombahs</v>
      </c>
      <c r="U40" s="88" t="str">
        <f>IFERROR(__xludf.DUMMYFUNCTION("""COMPUTED_VALUE"""),"Raptors")</f>
        <v>Raptors</v>
      </c>
      <c r="V40" s="109">
        <f>IFERROR(__xludf.DUMMYFUNCTION("""COMPUTED_VALUE"""),45915.0)</f>
        <v>45915</v>
      </c>
      <c r="W40" s="73"/>
      <c r="X40" s="93"/>
      <c r="Y40" s="93"/>
      <c r="Z40" s="93"/>
    </row>
    <row r="41">
      <c r="A41" s="73"/>
      <c r="B41" s="55" t="str">
        <f>IFERROR(__xludf.DUMMYFUNCTION("""COMPUTED_VALUE"""),"Match Day 3")</f>
        <v>Match Day 3</v>
      </c>
      <c r="C41" s="118" t="str">
        <f>IFERROR(__xludf.DUMMYFUNCTION("""COMPUTED_VALUE"""),"Ghastly Goombahs")</f>
        <v>Ghastly Goombahs</v>
      </c>
      <c r="D41" s="119" t="str">
        <f>IFERROR(__xludf.DUMMYFUNCTION("""COMPUTED_VALUE"""),"Raptors")</f>
        <v>Raptors</v>
      </c>
      <c r="E41" s="119" t="str">
        <f>IFERROR(__xludf.DUMMYFUNCTION("""COMPUTED_VALUE"""),"Embezzlers")</f>
        <v>Embezzlers</v>
      </c>
      <c r="F41" s="119" t="str">
        <f>IFERROR(__xludf.DUMMYFUNCTION("""COMPUTED_VALUE"""),"Cotija Cartel")</f>
        <v>Cotija Cartel</v>
      </c>
      <c r="G41" s="107"/>
      <c r="H41" s="119" t="str">
        <f>IFERROR(__xludf.DUMMYFUNCTION("""COMPUTED_VALUE"""),"Black-Holes")</f>
        <v>Black-Holes</v>
      </c>
      <c r="I41" s="119" t="str">
        <f>IFERROR(__xludf.DUMMYFUNCTION("""COMPUTED_VALUE"""),"Immortals")</f>
        <v>Immortals</v>
      </c>
      <c r="J41" s="119" t="str">
        <f>IFERROR(__xludf.DUMMYFUNCTION("""COMPUTED_VALUE"""),"Forge Defenders")</f>
        <v>Forge Defenders</v>
      </c>
      <c r="K41" s="119" t="str">
        <f>IFERROR(__xludf.DUMMYFUNCTION("""COMPUTED_VALUE"""),"Thrashers")</f>
        <v>Thrashers</v>
      </c>
      <c r="L41" s="107"/>
      <c r="M41" s="119" t="str">
        <f>IFERROR(__xludf.DUMMYFUNCTION("""COMPUTED_VALUE"""),"Afterburners")</f>
        <v>Afterburners</v>
      </c>
      <c r="N41" s="119" t="str">
        <f>IFERROR(__xludf.DUMMYFUNCTION("""COMPUTED_VALUE"""),"Despair")</f>
        <v>Despair</v>
      </c>
      <c r="O41" s="119" t="str">
        <f>IFERROR(__xludf.DUMMYFUNCTION("""COMPUTED_VALUE"""),"Gelato")</f>
        <v>Gelato</v>
      </c>
      <c r="P41" s="119" t="str">
        <f>IFERROR(__xludf.DUMMYFUNCTION("""COMPUTED_VALUE"""),"Demons")</f>
        <v>Demons</v>
      </c>
      <c r="Q41" s="120"/>
      <c r="R41" s="119" t="str">
        <f>IFERROR(__xludf.DUMMYFUNCTION("""COMPUTED_VALUE"""),"Forest Cobra")</f>
        <v>Forest Cobra</v>
      </c>
      <c r="S41" s="119" t="str">
        <f>IFERROR(__xludf.DUMMYFUNCTION("""COMPUTED_VALUE"""),"Commanders")</f>
        <v>Commanders</v>
      </c>
      <c r="T41" s="119" t="str">
        <f>IFERROR(__xludf.DUMMYFUNCTION("""COMPUTED_VALUE"""),"Krakens")</f>
        <v>Krakens</v>
      </c>
      <c r="U41" s="119" t="str">
        <f>IFERROR(__xludf.DUMMYFUNCTION("""COMPUTED_VALUE"""),"Dik-diks")</f>
        <v>Dik-diks</v>
      </c>
      <c r="V41" s="109">
        <f>IFERROR(__xludf.DUMMYFUNCTION("""COMPUTED_VALUE"""),45917.0)</f>
        <v>45917</v>
      </c>
      <c r="W41" s="73"/>
      <c r="X41" s="93"/>
      <c r="Y41" s="93"/>
      <c r="Z41" s="93"/>
    </row>
    <row r="42">
      <c r="A42" s="73"/>
      <c r="B42" s="55" t="str">
        <f>IFERROR(__xludf.DUMMYFUNCTION("""COMPUTED_VALUE"""),"Match Day 4")</f>
        <v>Match Day 4</v>
      </c>
      <c r="C42" s="118" t="str">
        <f>IFERROR(__xludf.DUMMYFUNCTION("""COMPUTED_VALUE"""),"Cotija Cartel")</f>
        <v>Cotija Cartel</v>
      </c>
      <c r="D42" s="119" t="str">
        <f>IFERROR(__xludf.DUMMYFUNCTION("""COMPUTED_VALUE"""),"Embezzlers")</f>
        <v>Embezzlers</v>
      </c>
      <c r="E42" s="119" t="str">
        <f>IFERROR(__xludf.DUMMYFUNCTION("""COMPUTED_VALUE"""),"Raptors")</f>
        <v>Raptors</v>
      </c>
      <c r="F42" s="119" t="str">
        <f>IFERROR(__xludf.DUMMYFUNCTION("""COMPUTED_VALUE"""),"Ghastly Goombahs")</f>
        <v>Ghastly Goombahs</v>
      </c>
      <c r="G42" s="107"/>
      <c r="H42" s="119" t="str">
        <f>IFERROR(__xludf.DUMMYFUNCTION("""COMPUTED_VALUE"""),"Thrashers")</f>
        <v>Thrashers</v>
      </c>
      <c r="I42" s="119" t="str">
        <f>IFERROR(__xludf.DUMMYFUNCTION("""COMPUTED_VALUE"""),"Forge Defenders")</f>
        <v>Forge Defenders</v>
      </c>
      <c r="J42" s="119" t="str">
        <f>IFERROR(__xludf.DUMMYFUNCTION("""COMPUTED_VALUE"""),"Immortals")</f>
        <v>Immortals</v>
      </c>
      <c r="K42" s="119" t="str">
        <f>IFERROR(__xludf.DUMMYFUNCTION("""COMPUTED_VALUE"""),"Black-Holes")</f>
        <v>Black-Holes</v>
      </c>
      <c r="L42" s="107"/>
      <c r="M42" s="119" t="str">
        <f>IFERROR(__xludf.DUMMYFUNCTION("""COMPUTED_VALUE"""),"Demons")</f>
        <v>Demons</v>
      </c>
      <c r="N42" s="119" t="str">
        <f>IFERROR(__xludf.DUMMYFUNCTION("""COMPUTED_VALUE"""),"Gelato")</f>
        <v>Gelato</v>
      </c>
      <c r="O42" s="119" t="str">
        <f>IFERROR(__xludf.DUMMYFUNCTION("""COMPUTED_VALUE"""),"Despair")</f>
        <v>Despair</v>
      </c>
      <c r="P42" s="119" t="str">
        <f>IFERROR(__xludf.DUMMYFUNCTION("""COMPUTED_VALUE"""),"Afterburners")</f>
        <v>Afterburners</v>
      </c>
      <c r="Q42" s="120"/>
      <c r="R42" s="119" t="str">
        <f>IFERROR(__xludf.DUMMYFUNCTION("""COMPUTED_VALUE"""),"Dik-diks")</f>
        <v>Dik-diks</v>
      </c>
      <c r="S42" s="119" t="str">
        <f>IFERROR(__xludf.DUMMYFUNCTION("""COMPUTED_VALUE"""),"Krakens")</f>
        <v>Krakens</v>
      </c>
      <c r="T42" s="119" t="str">
        <f>IFERROR(__xludf.DUMMYFUNCTION("""COMPUTED_VALUE"""),"Commanders")</f>
        <v>Commanders</v>
      </c>
      <c r="U42" s="119" t="str">
        <f>IFERROR(__xludf.DUMMYFUNCTION("""COMPUTED_VALUE"""),"Forest Cobra")</f>
        <v>Forest Cobra</v>
      </c>
      <c r="V42" s="59">
        <f>IFERROR(__xludf.DUMMYFUNCTION("""COMPUTED_VALUE"""),45922.0)</f>
        <v>45922</v>
      </c>
      <c r="W42" s="73"/>
      <c r="X42" s="93"/>
      <c r="Y42" s="93"/>
      <c r="Z42" s="93"/>
    </row>
    <row r="43">
      <c r="A43" s="73"/>
      <c r="B43" s="55" t="str">
        <f>IFERROR(__xludf.DUMMYFUNCTION("""COMPUTED_VALUE"""),"Match Day 5")</f>
        <v>Match Day 5</v>
      </c>
      <c r="C43" s="118" t="str">
        <f>IFERROR(__xludf.DUMMYFUNCTION("""COMPUTED_VALUE"""),"Raptors")</f>
        <v>Raptors</v>
      </c>
      <c r="D43" s="119" t="str">
        <f>IFERROR(__xludf.DUMMYFUNCTION("""COMPUTED_VALUE"""),"Ghastly Goombahs")</f>
        <v>Ghastly Goombahs</v>
      </c>
      <c r="E43" s="119" t="str">
        <f>IFERROR(__xludf.DUMMYFUNCTION("""COMPUTED_VALUE"""),"Cotija Cartel")</f>
        <v>Cotija Cartel</v>
      </c>
      <c r="F43" s="119" t="str">
        <f>IFERROR(__xludf.DUMMYFUNCTION("""COMPUTED_VALUE"""),"Embezzlers")</f>
        <v>Embezzlers</v>
      </c>
      <c r="G43" s="107"/>
      <c r="H43" s="119" t="str">
        <f>IFERROR(__xludf.DUMMYFUNCTION("""COMPUTED_VALUE"""),"Immortals")</f>
        <v>Immortals</v>
      </c>
      <c r="I43" s="119" t="str">
        <f>IFERROR(__xludf.DUMMYFUNCTION("""COMPUTED_VALUE"""),"Black-Holes")</f>
        <v>Black-Holes</v>
      </c>
      <c r="J43" s="119" t="str">
        <f>IFERROR(__xludf.DUMMYFUNCTION("""COMPUTED_VALUE"""),"Thrashers")</f>
        <v>Thrashers</v>
      </c>
      <c r="K43" s="119" t="str">
        <f>IFERROR(__xludf.DUMMYFUNCTION("""COMPUTED_VALUE"""),"Forge Defenders")</f>
        <v>Forge Defenders</v>
      </c>
      <c r="L43" s="107"/>
      <c r="M43" s="119" t="str">
        <f>IFERROR(__xludf.DUMMYFUNCTION("""COMPUTED_VALUE"""),"Despair")</f>
        <v>Despair</v>
      </c>
      <c r="N43" s="119" t="str">
        <f>IFERROR(__xludf.DUMMYFUNCTION("""COMPUTED_VALUE"""),"Afterburners")</f>
        <v>Afterburners</v>
      </c>
      <c r="O43" s="119" t="str">
        <f>IFERROR(__xludf.DUMMYFUNCTION("""COMPUTED_VALUE"""),"Demons")</f>
        <v>Demons</v>
      </c>
      <c r="P43" s="119" t="str">
        <f>IFERROR(__xludf.DUMMYFUNCTION("""COMPUTED_VALUE"""),"Gelato")</f>
        <v>Gelato</v>
      </c>
      <c r="Q43" s="120"/>
      <c r="R43" s="119" t="str">
        <f>IFERROR(__xludf.DUMMYFUNCTION("""COMPUTED_VALUE"""),"Commanders")</f>
        <v>Commanders</v>
      </c>
      <c r="S43" s="119" t="str">
        <f>IFERROR(__xludf.DUMMYFUNCTION("""COMPUTED_VALUE"""),"Forest Cobra")</f>
        <v>Forest Cobra</v>
      </c>
      <c r="T43" s="119" t="str">
        <f>IFERROR(__xludf.DUMMYFUNCTION("""COMPUTED_VALUE"""),"Dik-diks")</f>
        <v>Dik-diks</v>
      </c>
      <c r="U43" s="119" t="str">
        <f>IFERROR(__xludf.DUMMYFUNCTION("""COMPUTED_VALUE"""),"Krakens")</f>
        <v>Krakens</v>
      </c>
      <c r="V43" s="59">
        <f>IFERROR(__xludf.DUMMYFUNCTION("""COMPUTED_VALUE"""),45924.0)</f>
        <v>45924</v>
      </c>
      <c r="W43" s="73"/>
      <c r="X43" s="93"/>
      <c r="Y43" s="93"/>
      <c r="Z43" s="93"/>
    </row>
    <row r="44">
      <c r="A44" s="73"/>
      <c r="B44" s="55" t="str">
        <f>IFERROR(__xludf.DUMMYFUNCTION("""COMPUTED_VALUE"""),"Match Day 6")</f>
        <v>Match Day 6</v>
      </c>
      <c r="C44" s="121" t="str">
        <f>IFERROR(__xludf.DUMMYFUNCTION("""COMPUTED_VALUE"""),"Sloths")</f>
        <v>Sloths</v>
      </c>
      <c r="D44" s="122" t="str">
        <f>IFERROR(__xludf.DUMMYFUNCTION("""COMPUTED_VALUE"""),"Dragon")</f>
        <v>Dragon</v>
      </c>
      <c r="E44" s="122" t="str">
        <f>IFERROR(__xludf.DUMMYFUNCTION("""COMPUTED_VALUE"""),"Menthol")</f>
        <v>Menthol</v>
      </c>
      <c r="F44" s="122" t="str">
        <f>IFERROR(__xludf.DUMMYFUNCTION("""COMPUTED_VALUE"""),"Frostbite")</f>
        <v>Frostbite</v>
      </c>
      <c r="G44" s="107"/>
      <c r="H44" s="122" t="str">
        <f>IFERROR(__xludf.DUMMYFUNCTION("""COMPUTED_VALUE"""),"Peerless Scarred")</f>
        <v>Peerless Scarred</v>
      </c>
      <c r="I44" s="122" t="str">
        <f>IFERROR(__xludf.DUMMYFUNCTION("""COMPUTED_VALUE"""),"Desolation")</f>
        <v>Desolation</v>
      </c>
      <c r="J44" s="122" t="str">
        <f>IFERROR(__xludf.DUMMYFUNCTION("""COMPUTED_VALUE"""),"Swordsman")</f>
        <v>Swordsman</v>
      </c>
      <c r="K44" s="122" t="str">
        <f>IFERROR(__xludf.DUMMYFUNCTION("""COMPUTED_VALUE"""),"Drive-by")</f>
        <v>Drive-by</v>
      </c>
      <c r="L44" s="107"/>
      <c r="M44" s="122" t="str">
        <f>IFERROR(__xludf.DUMMYFUNCTION("""COMPUTED_VALUE"""),"Great Whites")</f>
        <v>Great Whites</v>
      </c>
      <c r="N44" s="122" t="str">
        <f>IFERROR(__xludf.DUMMYFUNCTION("""COMPUTED_VALUE"""),"Orochi")</f>
        <v>Orochi</v>
      </c>
      <c r="O44" s="122" t="str">
        <f>IFERROR(__xludf.DUMMYFUNCTION("""COMPUTED_VALUE"""),"Pixel Picassos")</f>
        <v>Pixel Picassos</v>
      </c>
      <c r="P44" s="122" t="str">
        <f>IFERROR(__xludf.DUMMYFUNCTION("""COMPUTED_VALUE"""),"Fire")</f>
        <v>Fire</v>
      </c>
      <c r="Q44" s="120"/>
      <c r="R44" s="122" t="str">
        <f>IFERROR(__xludf.DUMMYFUNCTION("""COMPUTED_VALUE"""),"Praetorian Guard")</f>
        <v>Praetorian Guard</v>
      </c>
      <c r="S44" s="122" t="str">
        <f>IFERROR(__xludf.DUMMYFUNCTION("""COMPUTED_VALUE"""),"Teddy Bears")</f>
        <v>Teddy Bears</v>
      </c>
      <c r="T44" s="122" t="str">
        <f>IFERROR(__xludf.DUMMYFUNCTION("""COMPUTED_VALUE"""),"Hellhounds")</f>
        <v>Hellhounds</v>
      </c>
      <c r="U44" s="122" t="str">
        <f>IFERROR(__xludf.DUMMYFUNCTION("""COMPUTED_VALUE"""),"Hydras")</f>
        <v>Hydras</v>
      </c>
      <c r="V44" s="59">
        <f>IFERROR(__xludf.DUMMYFUNCTION("""COMPUTED_VALUE"""),45929.0)</f>
        <v>45929</v>
      </c>
      <c r="W44" s="73"/>
      <c r="X44" s="93"/>
      <c r="Y44" s="93"/>
      <c r="Z44" s="93"/>
    </row>
    <row r="45">
      <c r="A45" s="73"/>
      <c r="B45" s="55" t="str">
        <f>IFERROR(__xludf.DUMMYFUNCTION("""COMPUTED_VALUE"""),"Match Day 7")</f>
        <v>Match Day 7</v>
      </c>
      <c r="C45" s="121" t="str">
        <f>IFERROR(__xludf.DUMMYFUNCTION("""COMPUTED_VALUE"""),"Dragon")</f>
        <v>Dragon</v>
      </c>
      <c r="D45" s="122" t="str">
        <f>IFERROR(__xludf.DUMMYFUNCTION("""COMPUTED_VALUE"""),"Sloths")</f>
        <v>Sloths</v>
      </c>
      <c r="E45" s="122" t="str">
        <f>IFERROR(__xludf.DUMMYFUNCTION("""COMPUTED_VALUE"""),"Frostbite")</f>
        <v>Frostbite</v>
      </c>
      <c r="F45" s="122" t="str">
        <f>IFERROR(__xludf.DUMMYFUNCTION("""COMPUTED_VALUE"""),"Menthol")</f>
        <v>Menthol</v>
      </c>
      <c r="G45" s="107"/>
      <c r="H45" s="122" t="str">
        <f>IFERROR(__xludf.DUMMYFUNCTION("""COMPUTED_VALUE"""),"Desolation")</f>
        <v>Desolation</v>
      </c>
      <c r="I45" s="122" t="str">
        <f>IFERROR(__xludf.DUMMYFUNCTION("""COMPUTED_VALUE"""),"Peerless Scarred")</f>
        <v>Peerless Scarred</v>
      </c>
      <c r="J45" s="122" t="str">
        <f>IFERROR(__xludf.DUMMYFUNCTION("""COMPUTED_VALUE"""),"Drive-by")</f>
        <v>Drive-by</v>
      </c>
      <c r="K45" s="122" t="str">
        <f>IFERROR(__xludf.DUMMYFUNCTION("""COMPUTED_VALUE"""),"Swordsman")</f>
        <v>Swordsman</v>
      </c>
      <c r="L45" s="107"/>
      <c r="M45" s="122" t="str">
        <f>IFERROR(__xludf.DUMMYFUNCTION("""COMPUTED_VALUE"""),"Orochi")</f>
        <v>Orochi</v>
      </c>
      <c r="N45" s="122" t="str">
        <f>IFERROR(__xludf.DUMMYFUNCTION("""COMPUTED_VALUE"""),"Great Whites")</f>
        <v>Great Whites</v>
      </c>
      <c r="O45" s="122" t="str">
        <f>IFERROR(__xludf.DUMMYFUNCTION("""COMPUTED_VALUE"""),"Fire")</f>
        <v>Fire</v>
      </c>
      <c r="P45" s="122" t="str">
        <f>IFERROR(__xludf.DUMMYFUNCTION("""COMPUTED_VALUE"""),"Pixel Picassos")</f>
        <v>Pixel Picassos</v>
      </c>
      <c r="Q45" s="120"/>
      <c r="R45" s="122" t="str">
        <f>IFERROR(__xludf.DUMMYFUNCTION("""COMPUTED_VALUE"""),"Teddy Bears")</f>
        <v>Teddy Bears</v>
      </c>
      <c r="S45" s="122" t="str">
        <f>IFERROR(__xludf.DUMMYFUNCTION("""COMPUTED_VALUE"""),"Praetorian Guard")</f>
        <v>Praetorian Guard</v>
      </c>
      <c r="T45" s="122" t="str">
        <f>IFERROR(__xludf.DUMMYFUNCTION("""COMPUTED_VALUE"""),"Hydras")</f>
        <v>Hydras</v>
      </c>
      <c r="U45" s="122" t="str">
        <f>IFERROR(__xludf.DUMMYFUNCTION("""COMPUTED_VALUE"""),"Hellhounds")</f>
        <v>Hellhounds</v>
      </c>
      <c r="V45" s="59">
        <f>IFERROR(__xludf.DUMMYFUNCTION("""COMPUTED_VALUE"""),45931.0)</f>
        <v>45931</v>
      </c>
      <c r="W45" s="73"/>
      <c r="X45" s="93"/>
      <c r="Y45" s="93"/>
      <c r="Z45" s="93"/>
    </row>
    <row r="46">
      <c r="A46" s="73"/>
      <c r="B46" s="55" t="str">
        <f>IFERROR(__xludf.DUMMYFUNCTION("""COMPUTED_VALUE"""),"Match Day 8")</f>
        <v>Match Day 8</v>
      </c>
      <c r="C46" s="121" t="str">
        <f>IFERROR(__xludf.DUMMYFUNCTION("""COMPUTED_VALUE"""),"Menthol")</f>
        <v>Menthol</v>
      </c>
      <c r="D46" s="122" t="str">
        <f>IFERROR(__xludf.DUMMYFUNCTION("""COMPUTED_VALUE"""),"Frostbite")</f>
        <v>Frostbite</v>
      </c>
      <c r="E46" s="122" t="str">
        <f>IFERROR(__xludf.DUMMYFUNCTION("""COMPUTED_VALUE"""),"Sloths")</f>
        <v>Sloths</v>
      </c>
      <c r="F46" s="122" t="str">
        <f>IFERROR(__xludf.DUMMYFUNCTION("""COMPUTED_VALUE"""),"Dragon")</f>
        <v>Dragon</v>
      </c>
      <c r="G46" s="107"/>
      <c r="H46" s="122" t="str">
        <f>IFERROR(__xludf.DUMMYFUNCTION("""COMPUTED_VALUE"""),"Swordsman")</f>
        <v>Swordsman</v>
      </c>
      <c r="I46" s="122" t="str">
        <f>IFERROR(__xludf.DUMMYFUNCTION("""COMPUTED_VALUE"""),"Drive-by")</f>
        <v>Drive-by</v>
      </c>
      <c r="J46" s="122" t="str">
        <f>IFERROR(__xludf.DUMMYFUNCTION("""COMPUTED_VALUE"""),"Peerless Scarred")</f>
        <v>Peerless Scarred</v>
      </c>
      <c r="K46" s="122" t="str">
        <f>IFERROR(__xludf.DUMMYFUNCTION("""COMPUTED_VALUE"""),"Desolation")</f>
        <v>Desolation</v>
      </c>
      <c r="L46" s="107"/>
      <c r="M46" s="122" t="str">
        <f>IFERROR(__xludf.DUMMYFUNCTION("""COMPUTED_VALUE"""),"Pixel Picassos")</f>
        <v>Pixel Picassos</v>
      </c>
      <c r="N46" s="122" t="str">
        <f>IFERROR(__xludf.DUMMYFUNCTION("""COMPUTED_VALUE"""),"Fire")</f>
        <v>Fire</v>
      </c>
      <c r="O46" s="122" t="str">
        <f>IFERROR(__xludf.DUMMYFUNCTION("""COMPUTED_VALUE"""),"Great Whites")</f>
        <v>Great Whites</v>
      </c>
      <c r="P46" s="122" t="str">
        <f>IFERROR(__xludf.DUMMYFUNCTION("""COMPUTED_VALUE"""),"Orochi")</f>
        <v>Orochi</v>
      </c>
      <c r="Q46" s="120"/>
      <c r="R46" s="122" t="str">
        <f>IFERROR(__xludf.DUMMYFUNCTION("""COMPUTED_VALUE"""),"Hellhounds")</f>
        <v>Hellhounds</v>
      </c>
      <c r="S46" s="122" t="str">
        <f>IFERROR(__xludf.DUMMYFUNCTION("""COMPUTED_VALUE"""),"Hydras")</f>
        <v>Hydras</v>
      </c>
      <c r="T46" s="122" t="str">
        <f>IFERROR(__xludf.DUMMYFUNCTION("""COMPUTED_VALUE"""),"Praetorian Guard")</f>
        <v>Praetorian Guard</v>
      </c>
      <c r="U46" s="122" t="str">
        <f>IFERROR(__xludf.DUMMYFUNCTION("""COMPUTED_VALUE"""),"Teddy Bears")</f>
        <v>Teddy Bears</v>
      </c>
      <c r="V46" s="59">
        <f>IFERROR(__xludf.DUMMYFUNCTION("""COMPUTED_VALUE"""),45936.0)</f>
        <v>45936</v>
      </c>
      <c r="W46" s="73"/>
      <c r="X46" s="93"/>
      <c r="Y46" s="93"/>
      <c r="Z46" s="93"/>
    </row>
    <row r="47">
      <c r="A47" s="73"/>
      <c r="B47" s="67" t="str">
        <f>IFERROR(__xludf.DUMMYFUNCTION("""COMPUTED_VALUE"""),"Match Day 9")</f>
        <v>Match Day 9</v>
      </c>
      <c r="C47" s="121" t="str">
        <f>IFERROR(__xludf.DUMMYFUNCTION("""COMPUTED_VALUE"""),"Frostbite")</f>
        <v>Frostbite</v>
      </c>
      <c r="D47" s="122" t="str">
        <f>IFERROR(__xludf.DUMMYFUNCTION("""COMPUTED_VALUE"""),"Menthol")</f>
        <v>Menthol</v>
      </c>
      <c r="E47" s="122" t="str">
        <f>IFERROR(__xludf.DUMMYFUNCTION("""COMPUTED_VALUE"""),"Dragon")</f>
        <v>Dragon</v>
      </c>
      <c r="F47" s="122" t="str">
        <f>IFERROR(__xludf.DUMMYFUNCTION("""COMPUTED_VALUE"""),"Sloths")</f>
        <v>Sloths</v>
      </c>
      <c r="G47" s="107"/>
      <c r="H47" s="122" t="str">
        <f>IFERROR(__xludf.DUMMYFUNCTION("""COMPUTED_VALUE"""),"Drive-by")</f>
        <v>Drive-by</v>
      </c>
      <c r="I47" s="122" t="str">
        <f>IFERROR(__xludf.DUMMYFUNCTION("""COMPUTED_VALUE"""),"Swordsman")</f>
        <v>Swordsman</v>
      </c>
      <c r="J47" s="122" t="str">
        <f>IFERROR(__xludf.DUMMYFUNCTION("""COMPUTED_VALUE"""),"Desolation")</f>
        <v>Desolation</v>
      </c>
      <c r="K47" s="122" t="str">
        <f>IFERROR(__xludf.DUMMYFUNCTION("""COMPUTED_VALUE"""),"Peerless Scarred")</f>
        <v>Peerless Scarred</v>
      </c>
      <c r="L47" s="107"/>
      <c r="M47" s="122" t="str">
        <f>IFERROR(__xludf.DUMMYFUNCTION("""COMPUTED_VALUE"""),"Fire")</f>
        <v>Fire</v>
      </c>
      <c r="N47" s="122" t="str">
        <f>IFERROR(__xludf.DUMMYFUNCTION("""COMPUTED_VALUE"""),"Pixel Picassos")</f>
        <v>Pixel Picassos</v>
      </c>
      <c r="O47" s="122" t="str">
        <f>IFERROR(__xludf.DUMMYFUNCTION("""COMPUTED_VALUE"""),"Orochi")</f>
        <v>Orochi</v>
      </c>
      <c r="P47" s="122" t="str">
        <f>IFERROR(__xludf.DUMMYFUNCTION("""COMPUTED_VALUE"""),"Great Whites")</f>
        <v>Great Whites</v>
      </c>
      <c r="Q47" s="120"/>
      <c r="R47" s="122" t="str">
        <f>IFERROR(__xludf.DUMMYFUNCTION("""COMPUTED_VALUE"""),"Hydras")</f>
        <v>Hydras</v>
      </c>
      <c r="S47" s="122" t="str">
        <f>IFERROR(__xludf.DUMMYFUNCTION("""COMPUTED_VALUE"""),"Hellhounds")</f>
        <v>Hellhounds</v>
      </c>
      <c r="T47" s="122" t="str">
        <f>IFERROR(__xludf.DUMMYFUNCTION("""COMPUTED_VALUE"""),"Teddy Bears")</f>
        <v>Teddy Bears</v>
      </c>
      <c r="U47" s="122" t="str">
        <f>IFERROR(__xludf.DUMMYFUNCTION("""COMPUTED_VALUE"""),"Praetorian Guard")</f>
        <v>Praetorian Guard</v>
      </c>
      <c r="V47" s="59">
        <f>IFERROR(__xludf.DUMMYFUNCTION("""COMPUTED_VALUE"""),45938.0)</f>
        <v>45938</v>
      </c>
      <c r="W47" s="73"/>
      <c r="X47" s="93"/>
      <c r="Y47" s="93"/>
      <c r="Z47" s="93"/>
    </row>
    <row r="48">
      <c r="A48" s="73"/>
      <c r="B48" s="55" t="str">
        <f>IFERROR(__xludf.DUMMYFUNCTION("""COMPUTED_VALUE"""),"Match Day 10")</f>
        <v>Match Day 10</v>
      </c>
      <c r="C48" s="87" t="str">
        <f>IFERROR(__xludf.DUMMYFUNCTION("""COMPUTED_VALUE"""),"Gelato")</f>
        <v>Gelato</v>
      </c>
      <c r="D48" s="88" t="str">
        <f>IFERROR(__xludf.DUMMYFUNCTION("""COMPUTED_VALUE"""),"Demons")</f>
        <v>Demons</v>
      </c>
      <c r="E48" s="88" t="str">
        <f>IFERROR(__xludf.DUMMYFUNCTION("""COMPUTED_VALUE"""),"Afterburners")</f>
        <v>Afterburners</v>
      </c>
      <c r="F48" s="88" t="str">
        <f>IFERROR(__xludf.DUMMYFUNCTION("""COMPUTED_VALUE"""),"Despair")</f>
        <v>Despair</v>
      </c>
      <c r="G48" s="107"/>
      <c r="H48" s="88" t="str">
        <f>IFERROR(__xludf.DUMMYFUNCTION("""COMPUTED_VALUE"""),"Krakens")</f>
        <v>Krakens</v>
      </c>
      <c r="I48" s="88" t="str">
        <f>IFERROR(__xludf.DUMMYFUNCTION("""COMPUTED_VALUE"""),"Dik-diks")</f>
        <v>Dik-diks</v>
      </c>
      <c r="J48" s="88" t="str">
        <f>IFERROR(__xludf.DUMMYFUNCTION("""COMPUTED_VALUE"""),"Forest Cobra")</f>
        <v>Forest Cobra</v>
      </c>
      <c r="K48" s="88" t="str">
        <f>IFERROR(__xludf.DUMMYFUNCTION("""COMPUTED_VALUE"""),"Commanders")</f>
        <v>Commanders</v>
      </c>
      <c r="L48" s="107"/>
      <c r="M48" s="88" t="str">
        <f>IFERROR(__xludf.DUMMYFUNCTION("""COMPUTED_VALUE"""),"Embezzlers")</f>
        <v>Embezzlers</v>
      </c>
      <c r="N48" s="88" t="str">
        <f>IFERROR(__xludf.DUMMYFUNCTION("""COMPUTED_VALUE"""),"Cotija Cartel")</f>
        <v>Cotija Cartel</v>
      </c>
      <c r="O48" s="88" t="str">
        <f>IFERROR(__xludf.DUMMYFUNCTION("""COMPUTED_VALUE"""),"Ghastly Goombahs")</f>
        <v>Ghastly Goombahs</v>
      </c>
      <c r="P48" s="88" t="str">
        <f>IFERROR(__xludf.DUMMYFUNCTION("""COMPUTED_VALUE"""),"Raptors")</f>
        <v>Raptors</v>
      </c>
      <c r="Q48" s="120"/>
      <c r="R48" s="88" t="str">
        <f>IFERROR(__xludf.DUMMYFUNCTION("""COMPUTED_VALUE"""),"Forge Defenders")</f>
        <v>Forge Defenders</v>
      </c>
      <c r="S48" s="88" t="str">
        <f>IFERROR(__xludf.DUMMYFUNCTION("""COMPUTED_VALUE"""),"Thrashers")</f>
        <v>Thrashers</v>
      </c>
      <c r="T48" s="88" t="str">
        <f>IFERROR(__xludf.DUMMYFUNCTION("""COMPUTED_VALUE"""),"Black-Holes")</f>
        <v>Black-Holes</v>
      </c>
      <c r="U48" s="88" t="str">
        <f>IFERROR(__xludf.DUMMYFUNCTION("""COMPUTED_VALUE"""),"Immortals")</f>
        <v>Immortals</v>
      </c>
      <c r="V48" s="59">
        <f>IFERROR(__xludf.DUMMYFUNCTION("""COMPUTED_VALUE"""),45945.0)</f>
        <v>45945</v>
      </c>
      <c r="W48" s="73"/>
      <c r="X48" s="93"/>
      <c r="Y48" s="93"/>
      <c r="Z48" s="93"/>
    </row>
    <row r="49">
      <c r="A49" s="73"/>
      <c r="B49" s="55" t="str">
        <f>IFERROR(__xludf.DUMMYFUNCTION("""COMPUTED_VALUE"""),"Match Day 11")</f>
        <v>Match Day 11</v>
      </c>
      <c r="C49" s="87" t="str">
        <f>IFERROR(__xludf.DUMMYFUNCTION("""COMPUTED_VALUE"""),"Demons")</f>
        <v>Demons</v>
      </c>
      <c r="D49" s="88" t="str">
        <f>IFERROR(__xludf.DUMMYFUNCTION("""COMPUTED_VALUE"""),"Gelato")</f>
        <v>Gelato</v>
      </c>
      <c r="E49" s="88" t="str">
        <f>IFERROR(__xludf.DUMMYFUNCTION("""COMPUTED_VALUE"""),"Despair")</f>
        <v>Despair</v>
      </c>
      <c r="F49" s="88" t="str">
        <f>IFERROR(__xludf.DUMMYFUNCTION("""COMPUTED_VALUE"""),"Afterburners")</f>
        <v>Afterburners</v>
      </c>
      <c r="G49" s="107"/>
      <c r="H49" s="88" t="str">
        <f>IFERROR(__xludf.DUMMYFUNCTION("""COMPUTED_VALUE"""),"Dik-diks")</f>
        <v>Dik-diks</v>
      </c>
      <c r="I49" s="88" t="str">
        <f>IFERROR(__xludf.DUMMYFUNCTION("""COMPUTED_VALUE"""),"Krakens")</f>
        <v>Krakens</v>
      </c>
      <c r="J49" s="88" t="str">
        <f>IFERROR(__xludf.DUMMYFUNCTION("""COMPUTED_VALUE"""),"Commanders")</f>
        <v>Commanders</v>
      </c>
      <c r="K49" s="88" t="str">
        <f>IFERROR(__xludf.DUMMYFUNCTION("""COMPUTED_VALUE"""),"Forest Cobra")</f>
        <v>Forest Cobra</v>
      </c>
      <c r="L49" s="107"/>
      <c r="M49" s="88" t="str">
        <f>IFERROR(__xludf.DUMMYFUNCTION("""COMPUTED_VALUE"""),"Cotija Cartel")</f>
        <v>Cotija Cartel</v>
      </c>
      <c r="N49" s="88" t="str">
        <f>IFERROR(__xludf.DUMMYFUNCTION("""COMPUTED_VALUE"""),"Embezzlers")</f>
        <v>Embezzlers</v>
      </c>
      <c r="O49" s="88" t="str">
        <f>IFERROR(__xludf.DUMMYFUNCTION("""COMPUTED_VALUE"""),"Raptors")</f>
        <v>Raptors</v>
      </c>
      <c r="P49" s="88" t="str">
        <f>IFERROR(__xludf.DUMMYFUNCTION("""COMPUTED_VALUE"""),"Ghastly Goombahs")</f>
        <v>Ghastly Goombahs</v>
      </c>
      <c r="Q49" s="120"/>
      <c r="R49" s="88" t="str">
        <f>IFERROR(__xludf.DUMMYFUNCTION("""COMPUTED_VALUE"""),"Thrashers")</f>
        <v>Thrashers</v>
      </c>
      <c r="S49" s="88" t="str">
        <f>IFERROR(__xludf.DUMMYFUNCTION("""COMPUTED_VALUE"""),"Forge Defenders")</f>
        <v>Forge Defenders</v>
      </c>
      <c r="T49" s="88" t="str">
        <f>IFERROR(__xludf.DUMMYFUNCTION("""COMPUTED_VALUE"""),"Immortals")</f>
        <v>Immortals</v>
      </c>
      <c r="U49" s="88" t="str">
        <f>IFERROR(__xludf.DUMMYFUNCTION("""COMPUTED_VALUE"""),"Black-Holes")</f>
        <v>Black-Holes</v>
      </c>
      <c r="V49" s="59">
        <f>IFERROR(__xludf.DUMMYFUNCTION("""COMPUTED_VALUE"""),45950.0)</f>
        <v>45950</v>
      </c>
      <c r="W49" s="73"/>
      <c r="X49" s="93"/>
      <c r="Y49" s="93"/>
      <c r="Z49" s="93"/>
    </row>
    <row r="50">
      <c r="A50" s="73"/>
      <c r="B50" s="68" t="str">
        <f>IFERROR(__xludf.DUMMYFUNCTION("""COMPUTED_VALUE"""),"Match Day 12")</f>
        <v>Match Day 12</v>
      </c>
      <c r="C50" s="87" t="str">
        <f>IFERROR(__xludf.DUMMYFUNCTION("""COMPUTED_VALUE"""),"Afterburners")</f>
        <v>Afterburners</v>
      </c>
      <c r="D50" s="88" t="str">
        <f>IFERROR(__xludf.DUMMYFUNCTION("""COMPUTED_VALUE"""),"Despair")</f>
        <v>Despair</v>
      </c>
      <c r="E50" s="88" t="str">
        <f>IFERROR(__xludf.DUMMYFUNCTION("""COMPUTED_VALUE"""),"Gelato")</f>
        <v>Gelato</v>
      </c>
      <c r="F50" s="88" t="str">
        <f>IFERROR(__xludf.DUMMYFUNCTION("""COMPUTED_VALUE"""),"Demons")</f>
        <v>Demons</v>
      </c>
      <c r="G50" s="107"/>
      <c r="H50" s="88" t="str">
        <f>IFERROR(__xludf.DUMMYFUNCTION("""COMPUTED_VALUE"""),"Forest Cobra")</f>
        <v>Forest Cobra</v>
      </c>
      <c r="I50" s="88" t="str">
        <f>IFERROR(__xludf.DUMMYFUNCTION("""COMPUTED_VALUE"""),"Commanders")</f>
        <v>Commanders</v>
      </c>
      <c r="J50" s="88" t="str">
        <f>IFERROR(__xludf.DUMMYFUNCTION("""COMPUTED_VALUE"""),"Krakens")</f>
        <v>Krakens</v>
      </c>
      <c r="K50" s="88" t="str">
        <f>IFERROR(__xludf.DUMMYFUNCTION("""COMPUTED_VALUE"""),"Dik-diks")</f>
        <v>Dik-diks</v>
      </c>
      <c r="L50" s="107"/>
      <c r="M50" s="88" t="str">
        <f>IFERROR(__xludf.DUMMYFUNCTION("""COMPUTED_VALUE"""),"Ghastly Goombahs")</f>
        <v>Ghastly Goombahs</v>
      </c>
      <c r="N50" s="88" t="str">
        <f>IFERROR(__xludf.DUMMYFUNCTION("""COMPUTED_VALUE"""),"Raptors")</f>
        <v>Raptors</v>
      </c>
      <c r="O50" s="88" t="str">
        <f>IFERROR(__xludf.DUMMYFUNCTION("""COMPUTED_VALUE"""),"Embezzlers")</f>
        <v>Embezzlers</v>
      </c>
      <c r="P50" s="88" t="str">
        <f>IFERROR(__xludf.DUMMYFUNCTION("""COMPUTED_VALUE"""),"Cotija Cartel")</f>
        <v>Cotija Cartel</v>
      </c>
      <c r="Q50" s="120"/>
      <c r="R50" s="88" t="str">
        <f>IFERROR(__xludf.DUMMYFUNCTION("""COMPUTED_VALUE"""),"Black-Holes")</f>
        <v>Black-Holes</v>
      </c>
      <c r="S50" s="88" t="str">
        <f>IFERROR(__xludf.DUMMYFUNCTION("""COMPUTED_VALUE"""),"Immortals")</f>
        <v>Immortals</v>
      </c>
      <c r="T50" s="88" t="str">
        <f>IFERROR(__xludf.DUMMYFUNCTION("""COMPUTED_VALUE"""),"Forge Defenders")</f>
        <v>Forge Defenders</v>
      </c>
      <c r="U50" s="88" t="str">
        <f>IFERROR(__xludf.DUMMYFUNCTION("""COMPUTED_VALUE"""),"Thrashers")</f>
        <v>Thrashers</v>
      </c>
      <c r="V50" s="59">
        <f>IFERROR(__xludf.DUMMYFUNCTION("""COMPUTED_VALUE"""),45952.0)</f>
        <v>45952</v>
      </c>
      <c r="W50" s="73"/>
      <c r="X50" s="93"/>
      <c r="Y50" s="93"/>
      <c r="Z50" s="93"/>
    </row>
    <row r="51">
      <c r="A51" s="73"/>
      <c r="B51" s="68" t="str">
        <f>IFERROR(__xludf.DUMMYFUNCTION("""COMPUTED_VALUE"""),"Match Day 13")</f>
        <v>Match Day 13</v>
      </c>
      <c r="C51" s="87" t="str">
        <f>IFERROR(__xludf.DUMMYFUNCTION("""COMPUTED_VALUE"""),"Despair")</f>
        <v>Despair</v>
      </c>
      <c r="D51" s="88" t="str">
        <f>IFERROR(__xludf.DUMMYFUNCTION("""COMPUTED_VALUE"""),"Afterburners")</f>
        <v>Afterburners</v>
      </c>
      <c r="E51" s="88" t="str">
        <f>IFERROR(__xludf.DUMMYFUNCTION("""COMPUTED_VALUE"""),"Demons")</f>
        <v>Demons</v>
      </c>
      <c r="F51" s="88" t="str">
        <f>IFERROR(__xludf.DUMMYFUNCTION("""COMPUTED_VALUE"""),"Gelato")</f>
        <v>Gelato</v>
      </c>
      <c r="G51" s="107"/>
      <c r="H51" s="88" t="str">
        <f>IFERROR(__xludf.DUMMYFUNCTION("""COMPUTED_VALUE"""),"Commanders")</f>
        <v>Commanders</v>
      </c>
      <c r="I51" s="88" t="str">
        <f>IFERROR(__xludf.DUMMYFUNCTION("""COMPUTED_VALUE"""),"Forest Cobra")</f>
        <v>Forest Cobra</v>
      </c>
      <c r="J51" s="88" t="str">
        <f>IFERROR(__xludf.DUMMYFUNCTION("""COMPUTED_VALUE"""),"Dik-diks")</f>
        <v>Dik-diks</v>
      </c>
      <c r="K51" s="88" t="str">
        <f>IFERROR(__xludf.DUMMYFUNCTION("""COMPUTED_VALUE"""),"Krakens")</f>
        <v>Krakens</v>
      </c>
      <c r="L51" s="107"/>
      <c r="M51" s="88" t="str">
        <f>IFERROR(__xludf.DUMMYFUNCTION("""COMPUTED_VALUE"""),"Raptors")</f>
        <v>Raptors</v>
      </c>
      <c r="N51" s="88" t="str">
        <f>IFERROR(__xludf.DUMMYFUNCTION("""COMPUTED_VALUE"""),"Ghastly Goombahs")</f>
        <v>Ghastly Goombahs</v>
      </c>
      <c r="O51" s="88" t="str">
        <f>IFERROR(__xludf.DUMMYFUNCTION("""COMPUTED_VALUE"""),"Cotija Cartel")</f>
        <v>Cotija Cartel</v>
      </c>
      <c r="P51" s="88" t="str">
        <f>IFERROR(__xludf.DUMMYFUNCTION("""COMPUTED_VALUE"""),"Embezzlers")</f>
        <v>Embezzlers</v>
      </c>
      <c r="Q51" s="120"/>
      <c r="R51" s="88" t="str">
        <f>IFERROR(__xludf.DUMMYFUNCTION("""COMPUTED_VALUE"""),"Immortals")</f>
        <v>Immortals</v>
      </c>
      <c r="S51" s="88" t="str">
        <f>IFERROR(__xludf.DUMMYFUNCTION("""COMPUTED_VALUE"""),"Black-Holes")</f>
        <v>Black-Holes</v>
      </c>
      <c r="T51" s="88" t="str">
        <f>IFERROR(__xludf.DUMMYFUNCTION("""COMPUTED_VALUE"""),"Thrashers")</f>
        <v>Thrashers</v>
      </c>
      <c r="U51" s="88" t="str">
        <f>IFERROR(__xludf.DUMMYFUNCTION("""COMPUTED_VALUE"""),"Forge Defenders")</f>
        <v>Forge Defenders</v>
      </c>
      <c r="V51" s="59">
        <f>IFERROR(__xludf.DUMMYFUNCTION("""COMPUTED_VALUE"""),45957.0)</f>
        <v>45957</v>
      </c>
      <c r="W51" s="73"/>
      <c r="X51" s="93"/>
      <c r="Y51" s="93"/>
      <c r="Z51" s="93"/>
    </row>
    <row r="52">
      <c r="A52" s="73"/>
      <c r="B52" s="55" t="str">
        <f>IFERROR(__xludf.DUMMYFUNCTION("""COMPUTED_VALUE"""),"Match Day 14")</f>
        <v>Match Day 14</v>
      </c>
      <c r="C52" s="118" t="str">
        <f>IFERROR(__xludf.DUMMYFUNCTION("""COMPUTED_VALUE"""),"Ghastly Goombahs")</f>
        <v>Ghastly Goombahs</v>
      </c>
      <c r="D52" s="119" t="str">
        <f>IFERROR(__xludf.DUMMYFUNCTION("""COMPUTED_VALUE"""),"Raptors")</f>
        <v>Raptors</v>
      </c>
      <c r="E52" s="119" t="str">
        <f>IFERROR(__xludf.DUMMYFUNCTION("""COMPUTED_VALUE"""),"Embezzlers")</f>
        <v>Embezzlers</v>
      </c>
      <c r="F52" s="119" t="str">
        <f>IFERROR(__xludf.DUMMYFUNCTION("""COMPUTED_VALUE"""),"Cotija Cartel")</f>
        <v>Cotija Cartel</v>
      </c>
      <c r="G52" s="123"/>
      <c r="H52" s="119" t="str">
        <f>IFERROR(__xludf.DUMMYFUNCTION("""COMPUTED_VALUE"""),"Black-Holes")</f>
        <v>Black-Holes</v>
      </c>
      <c r="I52" s="119" t="str">
        <f>IFERROR(__xludf.DUMMYFUNCTION("""COMPUTED_VALUE"""),"Immortals")</f>
        <v>Immortals</v>
      </c>
      <c r="J52" s="119" t="str">
        <f>IFERROR(__xludf.DUMMYFUNCTION("""COMPUTED_VALUE"""),"Forge Defenders")</f>
        <v>Forge Defenders</v>
      </c>
      <c r="K52" s="119" t="str">
        <f>IFERROR(__xludf.DUMMYFUNCTION("""COMPUTED_VALUE"""),"Thrashers")</f>
        <v>Thrashers</v>
      </c>
      <c r="L52" s="123"/>
      <c r="M52" s="119" t="str">
        <f>IFERROR(__xludf.DUMMYFUNCTION("""COMPUTED_VALUE"""),"Afterburners")</f>
        <v>Afterburners</v>
      </c>
      <c r="N52" s="119" t="str">
        <f>IFERROR(__xludf.DUMMYFUNCTION("""COMPUTED_VALUE"""),"Despair")</f>
        <v>Despair</v>
      </c>
      <c r="O52" s="119" t="str">
        <f>IFERROR(__xludf.DUMMYFUNCTION("""COMPUTED_VALUE"""),"Gelato")</f>
        <v>Gelato</v>
      </c>
      <c r="P52" s="119" t="str">
        <f>IFERROR(__xludf.DUMMYFUNCTION("""COMPUTED_VALUE"""),"Demons")</f>
        <v>Demons</v>
      </c>
      <c r="Q52" s="120"/>
      <c r="R52" s="119" t="str">
        <f>IFERROR(__xludf.DUMMYFUNCTION("""COMPUTED_VALUE"""),"Forest Cobra")</f>
        <v>Forest Cobra</v>
      </c>
      <c r="S52" s="119" t="str">
        <f>IFERROR(__xludf.DUMMYFUNCTION("""COMPUTED_VALUE"""),"Commanders")</f>
        <v>Commanders</v>
      </c>
      <c r="T52" s="119" t="str">
        <f>IFERROR(__xludf.DUMMYFUNCTION("""COMPUTED_VALUE"""),"Krakens")</f>
        <v>Krakens</v>
      </c>
      <c r="U52" s="119" t="str">
        <f>IFERROR(__xludf.DUMMYFUNCTION("""COMPUTED_VALUE"""),"Dik-diks")</f>
        <v>Dik-diks</v>
      </c>
      <c r="V52" s="59">
        <f>IFERROR(__xludf.DUMMYFUNCTION("""COMPUTED_VALUE"""),45959.0)</f>
        <v>45959</v>
      </c>
      <c r="W52" s="73"/>
      <c r="X52" s="93"/>
      <c r="Y52" s="93"/>
      <c r="Z52" s="93"/>
    </row>
    <row r="53">
      <c r="A53" s="73"/>
      <c r="B53" s="55" t="str">
        <f>IFERROR(__xludf.DUMMYFUNCTION("""COMPUTED_VALUE"""),"Match Day 15")</f>
        <v>Match Day 15</v>
      </c>
      <c r="C53" s="118" t="str">
        <f>IFERROR(__xludf.DUMMYFUNCTION("""COMPUTED_VALUE"""),"Cotija Cartel")</f>
        <v>Cotija Cartel</v>
      </c>
      <c r="D53" s="119" t="str">
        <f>IFERROR(__xludf.DUMMYFUNCTION("""COMPUTED_VALUE"""),"Embezzlers")</f>
        <v>Embezzlers</v>
      </c>
      <c r="E53" s="119" t="str">
        <f>IFERROR(__xludf.DUMMYFUNCTION("""COMPUTED_VALUE"""),"Raptors")</f>
        <v>Raptors</v>
      </c>
      <c r="F53" s="119" t="str">
        <f>IFERROR(__xludf.DUMMYFUNCTION("""COMPUTED_VALUE"""),"Ghastly Goombahs")</f>
        <v>Ghastly Goombahs</v>
      </c>
      <c r="G53" s="123"/>
      <c r="H53" s="119" t="str">
        <f>IFERROR(__xludf.DUMMYFUNCTION("""COMPUTED_VALUE"""),"Thrashers")</f>
        <v>Thrashers</v>
      </c>
      <c r="I53" s="119" t="str">
        <f>IFERROR(__xludf.DUMMYFUNCTION("""COMPUTED_VALUE"""),"Forge Defenders")</f>
        <v>Forge Defenders</v>
      </c>
      <c r="J53" s="119" t="str">
        <f>IFERROR(__xludf.DUMMYFUNCTION("""COMPUTED_VALUE"""),"Immortals")</f>
        <v>Immortals</v>
      </c>
      <c r="K53" s="119" t="str">
        <f>IFERROR(__xludf.DUMMYFUNCTION("""COMPUTED_VALUE"""),"Black-Holes")</f>
        <v>Black-Holes</v>
      </c>
      <c r="L53" s="123"/>
      <c r="M53" s="119" t="str">
        <f>IFERROR(__xludf.DUMMYFUNCTION("""COMPUTED_VALUE"""),"Demons")</f>
        <v>Demons</v>
      </c>
      <c r="N53" s="119" t="str">
        <f>IFERROR(__xludf.DUMMYFUNCTION("""COMPUTED_VALUE"""),"Gelato")</f>
        <v>Gelato</v>
      </c>
      <c r="O53" s="119" t="str">
        <f>IFERROR(__xludf.DUMMYFUNCTION("""COMPUTED_VALUE"""),"Despair")</f>
        <v>Despair</v>
      </c>
      <c r="P53" s="119" t="str">
        <f>IFERROR(__xludf.DUMMYFUNCTION("""COMPUTED_VALUE"""),"Afterburners")</f>
        <v>Afterburners</v>
      </c>
      <c r="Q53" s="120"/>
      <c r="R53" s="119" t="str">
        <f>IFERROR(__xludf.DUMMYFUNCTION("""COMPUTED_VALUE"""),"Dik-diks")</f>
        <v>Dik-diks</v>
      </c>
      <c r="S53" s="119" t="str">
        <f>IFERROR(__xludf.DUMMYFUNCTION("""COMPUTED_VALUE"""),"Krakens")</f>
        <v>Krakens</v>
      </c>
      <c r="T53" s="119" t="str">
        <f>IFERROR(__xludf.DUMMYFUNCTION("""COMPUTED_VALUE"""),"Commanders")</f>
        <v>Commanders</v>
      </c>
      <c r="U53" s="119" t="str">
        <f>IFERROR(__xludf.DUMMYFUNCTION("""COMPUTED_VALUE"""),"Forest Cobra")</f>
        <v>Forest Cobra</v>
      </c>
      <c r="V53" s="59">
        <f>IFERROR(__xludf.DUMMYFUNCTION("""COMPUTED_VALUE"""),45964.0)</f>
        <v>45964</v>
      </c>
      <c r="W53" s="73"/>
      <c r="X53" s="93"/>
      <c r="Y53" s="93"/>
      <c r="Z53" s="93"/>
    </row>
    <row r="54">
      <c r="A54" s="73"/>
      <c r="B54" s="55" t="str">
        <f>IFERROR(__xludf.DUMMYFUNCTION("""COMPUTED_VALUE"""),"Match Day 16")</f>
        <v>Match Day 16</v>
      </c>
      <c r="C54" s="118" t="str">
        <f>IFERROR(__xludf.DUMMYFUNCTION("""COMPUTED_VALUE"""),"Raptors")</f>
        <v>Raptors</v>
      </c>
      <c r="D54" s="119" t="str">
        <f>IFERROR(__xludf.DUMMYFUNCTION("""COMPUTED_VALUE"""),"Ghastly Goombahs")</f>
        <v>Ghastly Goombahs</v>
      </c>
      <c r="E54" s="119" t="str">
        <f>IFERROR(__xludf.DUMMYFUNCTION("""COMPUTED_VALUE"""),"Cotija Cartel")</f>
        <v>Cotija Cartel</v>
      </c>
      <c r="F54" s="119" t="str">
        <f>IFERROR(__xludf.DUMMYFUNCTION("""COMPUTED_VALUE"""),"Embezzlers")</f>
        <v>Embezzlers</v>
      </c>
      <c r="G54" s="123"/>
      <c r="H54" s="119" t="str">
        <f>IFERROR(__xludf.DUMMYFUNCTION("""COMPUTED_VALUE"""),"Immortals")</f>
        <v>Immortals</v>
      </c>
      <c r="I54" s="119" t="str">
        <f>IFERROR(__xludf.DUMMYFUNCTION("""COMPUTED_VALUE"""),"Black-Holes")</f>
        <v>Black-Holes</v>
      </c>
      <c r="J54" s="119" t="str">
        <f>IFERROR(__xludf.DUMMYFUNCTION("""COMPUTED_VALUE"""),"Thrashers")</f>
        <v>Thrashers</v>
      </c>
      <c r="K54" s="119" t="str">
        <f>IFERROR(__xludf.DUMMYFUNCTION("""COMPUTED_VALUE"""),"Forge Defenders")</f>
        <v>Forge Defenders</v>
      </c>
      <c r="L54" s="123"/>
      <c r="M54" s="119" t="str">
        <f>IFERROR(__xludf.DUMMYFUNCTION("""COMPUTED_VALUE"""),"Despair")</f>
        <v>Despair</v>
      </c>
      <c r="N54" s="119" t="str">
        <f>IFERROR(__xludf.DUMMYFUNCTION("""COMPUTED_VALUE"""),"Afterburners")</f>
        <v>Afterburners</v>
      </c>
      <c r="O54" s="119" t="str">
        <f>IFERROR(__xludf.DUMMYFUNCTION("""COMPUTED_VALUE"""),"Demons")</f>
        <v>Demons</v>
      </c>
      <c r="P54" s="119" t="str">
        <f>IFERROR(__xludf.DUMMYFUNCTION("""COMPUTED_VALUE"""),"Gelato")</f>
        <v>Gelato</v>
      </c>
      <c r="Q54" s="120"/>
      <c r="R54" s="119" t="str">
        <f>IFERROR(__xludf.DUMMYFUNCTION("""COMPUTED_VALUE"""),"Commanders")</f>
        <v>Commanders</v>
      </c>
      <c r="S54" s="119" t="str">
        <f>IFERROR(__xludf.DUMMYFUNCTION("""COMPUTED_VALUE"""),"Forest Cobra")</f>
        <v>Forest Cobra</v>
      </c>
      <c r="T54" s="119" t="str">
        <f>IFERROR(__xludf.DUMMYFUNCTION("""COMPUTED_VALUE"""),"Dik-diks")</f>
        <v>Dik-diks</v>
      </c>
      <c r="U54" s="119" t="str">
        <f>IFERROR(__xludf.DUMMYFUNCTION("""COMPUTED_VALUE"""),"Krakens")</f>
        <v>Krakens</v>
      </c>
      <c r="V54" s="59">
        <f>IFERROR(__xludf.DUMMYFUNCTION("""COMPUTED_VALUE"""),45966.0)</f>
        <v>45966</v>
      </c>
      <c r="W54" s="73"/>
      <c r="X54" s="93"/>
      <c r="Y54" s="93"/>
      <c r="Z54" s="93"/>
    </row>
    <row r="55">
      <c r="A55" s="73"/>
      <c r="B55" s="55" t="str">
        <f>IFERROR(__xludf.DUMMYFUNCTION("""COMPUTED_VALUE"""),"Match Day 17")</f>
        <v>Match Day 17</v>
      </c>
      <c r="C55" s="124" t="str">
        <f>IFERROR(__xludf.DUMMYFUNCTION("""COMPUTED_VALUE"""),"Wild-Card (9:45 PM ET) / Quarterfinals (10:30 PM ET)")</f>
        <v>Wild-Card (9:45 PM ET) / Quarterfinals (10:30 PM ET)</v>
      </c>
      <c r="D55" s="27"/>
      <c r="E55" s="27"/>
      <c r="F55" s="27"/>
      <c r="G55" s="27"/>
      <c r="H55" s="27"/>
      <c r="I55" s="27"/>
      <c r="J55" s="27"/>
      <c r="K55" s="90"/>
      <c r="L55" s="73"/>
      <c r="M55" s="124" t="str">
        <f>IFERROR(__xludf.DUMMYFUNCTION("""COMPUTED_VALUE"""),"Wild-Card (9:45 PM ET) / Quarterfinals (10:30 PM ET)")</f>
        <v>Wild-Card (9:45 PM ET) / Quarterfinals (10:30 PM ET)</v>
      </c>
      <c r="N55" s="27"/>
      <c r="O55" s="27"/>
      <c r="P55" s="27"/>
      <c r="Q55" s="27"/>
      <c r="R55" s="27"/>
      <c r="S55" s="27"/>
      <c r="T55" s="27"/>
      <c r="U55" s="90"/>
      <c r="V55" s="59">
        <f>IFERROR(__xludf.DUMMYFUNCTION("""COMPUTED_VALUE"""),45971.0)</f>
        <v>45971</v>
      </c>
      <c r="W55" s="73"/>
      <c r="X55" s="93"/>
      <c r="Y55" s="93"/>
      <c r="Z55" s="93"/>
    </row>
    <row r="56">
      <c r="A56" s="73"/>
      <c r="B56" s="55" t="str">
        <f>IFERROR(__xludf.DUMMYFUNCTION("""COMPUTED_VALUE"""),"Match Day 18")</f>
        <v>Match Day 18</v>
      </c>
      <c r="C56" s="124" t="str">
        <f>IFERROR(__xludf.DUMMYFUNCTION("""COMPUTED_VALUE"""),"Semifinals (9:30 PM ET / Finals 10:30PM ET)")</f>
        <v>Semifinals (9:30 PM ET / Finals 10:30PM ET)</v>
      </c>
      <c r="D56" s="27"/>
      <c r="E56" s="27"/>
      <c r="F56" s="27"/>
      <c r="G56" s="27"/>
      <c r="H56" s="27"/>
      <c r="I56" s="27"/>
      <c r="J56" s="27"/>
      <c r="K56" s="90"/>
      <c r="L56" s="73"/>
      <c r="M56" s="124" t="str">
        <f>IFERROR(__xludf.DUMMYFUNCTION("""COMPUTED_VALUE"""),"Semifinals (9:30 PM ET / Finals 10:30PM ET)")</f>
        <v>Semifinals (9:30 PM ET / Finals 10:30PM ET)</v>
      </c>
      <c r="N56" s="27"/>
      <c r="O56" s="27"/>
      <c r="P56" s="27"/>
      <c r="Q56" s="27"/>
      <c r="R56" s="27"/>
      <c r="S56" s="27"/>
      <c r="T56" s="27"/>
      <c r="U56" s="90"/>
      <c r="V56" s="59">
        <f>IFERROR(__xludf.DUMMYFUNCTION("""COMPUTED_VALUE"""),45973.0)</f>
        <v>45973</v>
      </c>
      <c r="W56" s="73"/>
      <c r="X56" s="93"/>
      <c r="Y56" s="93"/>
      <c r="Z56" s="9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101"/>
      <c r="W57" s="7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126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126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126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126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126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126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126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126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126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126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126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126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126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126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126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126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126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126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126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126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126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126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126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126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126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126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126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126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126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126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126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126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126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126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126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126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126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126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126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126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126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126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126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126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126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126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126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126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126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126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126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126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126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126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126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126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126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126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126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126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126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126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126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126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126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126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126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126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126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126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126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126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126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126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126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126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126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126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126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126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126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126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126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126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126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126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126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126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126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126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126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126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126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126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126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126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126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126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126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126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126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126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126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126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126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126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126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126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126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126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126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126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126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126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126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126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126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126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126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126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126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126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126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126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126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126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126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126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126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126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126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126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126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126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126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126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126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126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126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126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126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126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126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126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126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126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126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126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126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126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126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126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126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126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126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126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126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126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126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126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126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126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126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126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126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126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126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126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126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126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126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126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126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126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126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126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126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126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126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126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126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126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126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126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126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126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126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126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126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126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126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126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126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126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126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126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126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126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126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126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126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126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126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126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126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126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126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126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126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126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126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126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126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126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126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126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126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126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126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126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126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126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126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126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126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126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126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126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126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126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126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126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126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126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126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126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126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126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126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126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126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126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126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126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126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126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126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126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126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126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126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126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126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126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126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126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126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126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126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126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126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126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126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126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126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126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126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126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126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126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126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126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126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126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126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126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126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126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126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126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126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126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126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126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126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126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126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126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126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126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126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126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126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126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126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126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126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126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126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126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126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126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126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126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126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126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126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126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126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126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126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126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126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126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126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126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126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126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126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126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126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126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126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126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126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126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126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126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126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126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126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126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126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126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126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126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126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126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126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126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126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126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126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126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126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126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126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126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126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126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126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126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126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126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126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126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126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126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126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126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126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126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126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126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126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126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126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126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126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126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126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126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126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126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126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126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126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126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126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126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126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126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126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126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126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126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126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126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126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126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126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126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126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126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126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126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126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126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126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126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126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126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126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126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126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126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126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126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126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126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126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126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126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126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126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126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126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126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126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126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126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126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126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126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126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126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126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126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126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126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126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126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126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126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126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126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126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126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126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126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126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126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126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126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126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126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126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126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126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126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126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126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126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126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126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126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126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126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126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126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126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126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126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126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126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126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126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126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126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126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126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126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126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126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126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126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126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126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126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126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126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126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126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126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126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126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126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126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126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126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126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126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126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126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126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126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126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126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126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126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126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126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126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126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126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126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126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126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126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126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126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126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126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126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126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126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126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126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126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126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126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126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126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126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126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126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126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126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126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126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126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126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126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126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126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126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126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126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126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126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126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126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126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126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126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126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126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126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126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126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126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126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126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126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126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126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126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126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126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126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126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126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126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126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126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126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126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126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126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126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126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126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126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126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126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126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126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126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126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126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126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126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126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126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126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126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126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126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126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126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126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126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126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126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126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126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126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126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126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126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126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126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126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126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126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126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126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126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126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126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126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126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126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126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126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126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126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126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126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126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126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126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126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126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126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126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126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126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126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126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126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126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126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126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126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126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126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126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126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126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126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126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126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126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126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126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126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126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126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126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126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126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126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126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126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126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126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126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126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126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126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126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126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126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126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126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126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126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126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126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126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126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126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126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126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126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126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126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126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126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126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126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126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126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126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126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126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126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126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126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126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126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126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126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126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126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126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126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126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126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126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126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126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126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126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126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126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126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126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126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126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126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126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126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126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126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126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126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126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126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126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126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126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126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126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126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126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126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126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126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126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126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126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126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126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126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126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126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126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126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126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126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126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126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126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126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126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126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126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126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126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126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126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126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126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126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126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126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126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126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126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126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126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126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126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126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126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126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126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126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126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126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126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126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126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126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126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126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126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126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126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126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126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126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126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126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126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126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126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126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126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126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126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126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126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126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126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126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126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126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126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126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126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126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126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126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126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126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126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126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126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126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126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126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126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126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126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126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126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126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126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126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126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126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126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126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126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126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126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126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126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126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126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126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126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126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126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126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126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126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126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126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126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126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126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126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126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126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126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126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126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126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126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126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126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126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126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126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126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126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126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126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126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126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126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126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126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126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126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126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126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126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126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126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126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126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126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126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126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126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126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126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126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126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126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126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126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126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126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126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126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126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126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126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126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126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126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126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126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126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126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126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126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126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126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126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126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126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126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126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126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126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126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126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126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126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126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126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126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126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126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126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126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126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126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126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126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126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126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126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126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126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126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126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126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126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126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126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126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126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126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126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126"/>
      <c r="W1000" s="93"/>
      <c r="X1000" s="93"/>
      <c r="Y1000" s="93"/>
      <c r="Z1000" s="93"/>
    </row>
    <row r="1001">
      <c r="A1001" s="93"/>
      <c r="B1001" s="93"/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126"/>
      <c r="W1001" s="93"/>
      <c r="X1001" s="93"/>
      <c r="Y1001" s="93"/>
      <c r="Z1001" s="93"/>
    </row>
    <row r="1002">
      <c r="A1002" s="93"/>
      <c r="B1002" s="93"/>
      <c r="C1002" s="93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126"/>
      <c r="W1002" s="93"/>
      <c r="X1002" s="93"/>
      <c r="Y1002" s="93"/>
      <c r="Z1002" s="93"/>
    </row>
    <row r="1003">
      <c r="A1003" s="93"/>
      <c r="B1003" s="93"/>
      <c r="C1003" s="93"/>
      <c r="D1003" s="93"/>
      <c r="E1003" s="93"/>
      <c r="F1003" s="93"/>
      <c r="G1003" s="93"/>
      <c r="H1003" s="93"/>
      <c r="I1003" s="93"/>
      <c r="J1003" s="93"/>
      <c r="K1003" s="93"/>
      <c r="L1003" s="93"/>
      <c r="M1003" s="93"/>
      <c r="N1003" s="93"/>
      <c r="O1003" s="93"/>
      <c r="P1003" s="93"/>
      <c r="Q1003" s="93"/>
      <c r="R1003" s="93"/>
      <c r="S1003" s="93"/>
      <c r="T1003" s="93"/>
      <c r="U1003" s="93"/>
      <c r="V1003" s="126"/>
      <c r="W1003" s="93"/>
      <c r="X1003" s="93"/>
      <c r="Y1003" s="93"/>
      <c r="Z1003" s="93"/>
    </row>
    <row r="1004">
      <c r="A1004" s="93"/>
      <c r="B1004" s="93"/>
      <c r="C1004" s="93"/>
      <c r="D1004" s="93"/>
      <c r="E1004" s="93"/>
      <c r="F1004" s="93"/>
      <c r="G1004" s="93"/>
      <c r="H1004" s="93"/>
      <c r="I1004" s="93"/>
      <c r="J1004" s="93"/>
      <c r="K1004" s="93"/>
      <c r="L1004" s="93"/>
      <c r="M1004" s="93"/>
      <c r="N1004" s="93"/>
      <c r="O1004" s="93"/>
      <c r="P1004" s="93"/>
      <c r="Q1004" s="93"/>
      <c r="R1004" s="93"/>
      <c r="S1004" s="93"/>
      <c r="T1004" s="93"/>
      <c r="U1004" s="93"/>
      <c r="V1004" s="126"/>
      <c r="W1004" s="93"/>
      <c r="X1004" s="93"/>
      <c r="Y1004" s="93"/>
      <c r="Z1004" s="93"/>
    </row>
  </sheetData>
  <mergeCells count="20">
    <mergeCell ref="C2:U2"/>
    <mergeCell ref="H3:P3"/>
    <mergeCell ref="H4:P5"/>
    <mergeCell ref="C7:F7"/>
    <mergeCell ref="H7:K7"/>
    <mergeCell ref="M7:P7"/>
    <mergeCell ref="R7:U7"/>
    <mergeCell ref="M34:P34"/>
    <mergeCell ref="R34:U34"/>
    <mergeCell ref="C55:K55"/>
    <mergeCell ref="M55:U55"/>
    <mergeCell ref="C56:K56"/>
    <mergeCell ref="M56:U56"/>
    <mergeCell ref="C28:K28"/>
    <mergeCell ref="M28:U28"/>
    <mergeCell ref="C29:K29"/>
    <mergeCell ref="M29:U29"/>
    <mergeCell ref="I32:O33"/>
    <mergeCell ref="C34:F34"/>
    <mergeCell ref="H34:K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3FFDA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88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3" width="3.38"/>
  </cols>
  <sheetData>
    <row r="1">
      <c r="A1" s="127" t="str">
        <f>IFERROR(__xludf.DUMMYFUNCTION("IMPORTRANGE(Imports!B1, ""Veteran!A:W"")"),",")</f>
        <v>,</v>
      </c>
      <c r="B1" s="73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73"/>
      <c r="W1" s="73"/>
    </row>
    <row r="2">
      <c r="A2" s="73"/>
      <c r="B2" s="73"/>
      <c r="C2" s="129" t="str">
        <f>IFERROR(__xludf.DUMMYFUNCTION("""COMPUTED_VALUE"""),"Veteran Schedule")</f>
        <v>Veteran Schedule</v>
      </c>
      <c r="V2" s="73"/>
      <c r="W2" s="73"/>
    </row>
    <row r="3">
      <c r="A3" s="128"/>
      <c r="B3" s="128"/>
      <c r="C3" s="130"/>
      <c r="D3" s="130"/>
      <c r="E3" s="130"/>
      <c r="F3" s="130"/>
      <c r="G3" s="130"/>
      <c r="H3" s="131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Q3" s="130"/>
      <c r="R3" s="130"/>
      <c r="S3" s="130"/>
      <c r="T3" s="130"/>
      <c r="U3" s="130"/>
      <c r="V3" s="128"/>
      <c r="W3" s="128"/>
    </row>
    <row r="4">
      <c r="A4" s="73"/>
      <c r="B4" s="132" t="str">
        <f>IFERROR(__xludf.DUMMYFUNCTION("""COMPUTED_VALUE"""),"Preseason")</f>
        <v>Preseason</v>
      </c>
      <c r="C4" s="84"/>
      <c r="D4" s="73"/>
      <c r="E4" s="73"/>
      <c r="F4" s="73"/>
      <c r="G4" s="131"/>
      <c r="H4" s="95" t="str">
        <f>IFERROR(__xludf.DUMMYFUNCTION("""COMPUTED_VALUE"""),"Solar Conference")</f>
        <v>Solar Conference</v>
      </c>
      <c r="Q4" s="73"/>
      <c r="R4" s="73"/>
      <c r="S4" s="73"/>
      <c r="T4" s="133"/>
      <c r="U4" s="133"/>
      <c r="V4" s="132" t="str">
        <f>IFERROR(__xludf.DUMMYFUNCTION("""COMPUTED_VALUE"""),"Preseason")</f>
        <v>Preseason</v>
      </c>
      <c r="W4" s="73"/>
    </row>
    <row r="5" ht="15.75" customHeight="1">
      <c r="A5" s="73"/>
      <c r="B5" s="96" t="str">
        <f>IFERROR(__xludf.DUMMYFUNCTION("""COMPUTED_VALUE"""),"In Division")</f>
        <v>In Division</v>
      </c>
      <c r="C5" s="134"/>
      <c r="D5" s="134"/>
      <c r="E5" s="134"/>
      <c r="F5" s="134"/>
      <c r="G5" s="134"/>
      <c r="Q5" s="134"/>
      <c r="R5" s="134"/>
      <c r="S5" s="134"/>
      <c r="T5" s="73"/>
      <c r="U5" s="73"/>
      <c r="V5" s="96" t="str">
        <f>IFERROR(__xludf.DUMMYFUNCTION("""COMPUTED_VALUE"""),"In Division")</f>
        <v>In Division</v>
      </c>
      <c r="W5" s="73"/>
    </row>
    <row r="6" ht="15.75" customHeight="1">
      <c r="A6" s="73"/>
      <c r="B6" s="78" t="str">
        <f>IFERROR(__xludf.DUMMYFUNCTION("""COMPUTED_VALUE"""),"In Conference")</f>
        <v>In Conference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78" t="str">
        <f>IFERROR(__xludf.DUMMYFUNCTION("""COMPUTED_VALUE"""),"In Conference")</f>
        <v>In Conference</v>
      </c>
      <c r="W6" s="73"/>
    </row>
    <row r="7" ht="15.75" customHeight="1">
      <c r="A7" s="73"/>
      <c r="B7" s="97" t="str">
        <f>IFERROR(__xludf.DUMMYFUNCTION("""COMPUTED_VALUE"""),"Out of Conference")</f>
        <v>Out of Conference</v>
      </c>
      <c r="C7" s="135" t="str">
        <f>IFERROR(__xludf.DUMMYFUNCTION("""COMPUTED_VALUE"""),"Cloud Division")</f>
        <v>Cloud Division</v>
      </c>
      <c r="G7" s="136"/>
      <c r="H7" s="137" t="str">
        <f>IFERROR(__xludf.DUMMYFUNCTION("""COMPUTED_VALUE"""),"Ember Division")</f>
        <v>Ember Division</v>
      </c>
      <c r="L7" s="134"/>
      <c r="M7" s="138" t="str">
        <f>IFERROR(__xludf.DUMMYFUNCTION("""COMPUTED_VALUE"""),"Mountain Division")</f>
        <v>Mountain Division</v>
      </c>
      <c r="Q7" s="136"/>
      <c r="R7" s="139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IFERROR(__xludf.DUMMYFUNCTION("""COMPUTED_VALUE"""),"Gorillas")</f>
        <v>Gorillas</v>
      </c>
      <c r="D8" s="103" t="str">
        <f>IFERROR(__xludf.DUMMYFUNCTION("""COMPUTED_VALUE"""),"Gargoyle")</f>
        <v>Gargoyle</v>
      </c>
      <c r="E8" s="103" t="str">
        <f>IFERROR(__xludf.DUMMYFUNCTION("""COMPUTED_VALUE"""),"Avalanche")</f>
        <v>Avalanche</v>
      </c>
      <c r="F8" s="103" t="str">
        <f>IFERROR(__xludf.DUMMYFUNCTION("""COMPUTED_VALUE"""),"Peppermint")</f>
        <v>Peppermint</v>
      </c>
      <c r="G8" s="81"/>
      <c r="H8" s="103" t="str">
        <f>IFERROR(__xludf.DUMMYFUNCTION("""COMPUTED_VALUE"""),"Sons of Ares")</f>
        <v>Sons of Ares</v>
      </c>
      <c r="I8" s="103" t="str">
        <f>IFERROR(__xludf.DUMMYFUNCTION("""COMPUTED_VALUE"""),"Singularity")</f>
        <v>Singularity</v>
      </c>
      <c r="J8" s="103" t="str">
        <f>IFERROR(__xludf.DUMMYFUNCTION("""COMPUTED_VALUE"""),"Street Rats")</f>
        <v>Street Rats</v>
      </c>
      <c r="K8" s="103" t="str">
        <f>IFERROR(__xludf.DUMMYFUNCTION("""COMPUTED_VALUE"""),"Navigators")</f>
        <v>Navigators</v>
      </c>
      <c r="L8" s="103"/>
      <c r="M8" s="103" t="str">
        <f>IFERROR(__xludf.DUMMYFUNCTION("""COMPUTED_VALUE"""),"Makos")</f>
        <v>Makos</v>
      </c>
      <c r="N8" s="103" t="str">
        <f>IFERROR(__xludf.DUMMYFUNCTION("""COMPUTED_VALUE"""),"Kirin")</f>
        <v>Kirin</v>
      </c>
      <c r="O8" s="103" t="str">
        <f>IFERROR(__xludf.DUMMYFUNCTION("""COMPUTED_VALUE"""),"Water")</f>
        <v>Water</v>
      </c>
      <c r="P8" s="103" t="str">
        <f>IFERROR(__xludf.DUMMYFUNCTION("""COMPUTED_VALUE"""),"Mosaic Maestros")</f>
        <v>Mosaic Maestros</v>
      </c>
      <c r="Q8" s="103"/>
      <c r="R8" s="103" t="str">
        <f>IFERROR(__xludf.DUMMYFUNCTION("""COMPUTED_VALUE"""),"Legati")</f>
        <v>Legati</v>
      </c>
      <c r="S8" s="103" t="str">
        <f>IFERROR(__xludf.DUMMYFUNCTION("""COMPUTED_VALUE"""),"Grizzly Bears")</f>
        <v>Grizzly Bears</v>
      </c>
      <c r="T8" s="103" t="str">
        <f>IFERROR(__xludf.DUMMYFUNCTION("""COMPUTED_VALUE"""),"Lycans")</f>
        <v>Lycans</v>
      </c>
      <c r="U8" s="81" t="str">
        <f>IFERROR(__xludf.DUMMYFUNCTION("""COMPUTED_VALUE"""),"Shadow Tails")</f>
        <v>Shadow Tails</v>
      </c>
      <c r="V8" s="80" t="str">
        <f>IFERROR(__xludf.DUMMYFUNCTION("""COMPUTED_VALUE"""),"Playoffs")</f>
        <v>Playoffs</v>
      </c>
      <c r="W8" s="73"/>
    </row>
    <row r="9">
      <c r="A9" s="140"/>
      <c r="B9" s="141" t="str">
        <f>IFERROR(__xludf.DUMMYFUNCTION("""COMPUTED_VALUE"""),"Preseason 1")</f>
        <v>Preseason 1</v>
      </c>
      <c r="C9" s="82" t="str">
        <f>IFERROR(__xludf.DUMMYFUNCTION("""COMPUTED_VALUE"""),"Gargoyle")</f>
        <v>Gargoyle</v>
      </c>
      <c r="D9" s="83" t="str">
        <f>IFERROR(__xludf.DUMMYFUNCTION("""COMPUTED_VALUE"""),"Gorillas")</f>
        <v>Gorillas</v>
      </c>
      <c r="E9" s="83" t="str">
        <f>IFERROR(__xludf.DUMMYFUNCTION("""COMPUTED_VALUE"""),"Peppermint")</f>
        <v>Peppermint</v>
      </c>
      <c r="F9" s="83" t="str">
        <f>IFERROR(__xludf.DUMMYFUNCTION("""COMPUTED_VALUE"""),"Avalanche")</f>
        <v>Avalanche</v>
      </c>
      <c r="G9" s="142"/>
      <c r="H9" s="83" t="str">
        <f>IFERROR(__xludf.DUMMYFUNCTION("""COMPUTED_VALUE"""),"Singularity")</f>
        <v>Singularity</v>
      </c>
      <c r="I9" s="83" t="str">
        <f>IFERROR(__xludf.DUMMYFUNCTION("""COMPUTED_VALUE"""),"Sons of Ares")</f>
        <v>Sons of Ares</v>
      </c>
      <c r="J9" s="83" t="str">
        <f>IFERROR(__xludf.DUMMYFUNCTION("""COMPUTED_VALUE"""),"Navigators")</f>
        <v>Navigators</v>
      </c>
      <c r="K9" s="83" t="str">
        <f>IFERROR(__xludf.DUMMYFUNCTION("""COMPUTED_VALUE"""),"Street Rats")</f>
        <v>Street Rats</v>
      </c>
      <c r="L9" s="142"/>
      <c r="M9" s="83" t="str">
        <f>IFERROR(__xludf.DUMMYFUNCTION("""COMPUTED_VALUE"""),"Kirin")</f>
        <v>Kirin</v>
      </c>
      <c r="N9" s="83" t="str">
        <f>IFERROR(__xludf.DUMMYFUNCTION("""COMPUTED_VALUE"""),"Makos")</f>
        <v>Makos</v>
      </c>
      <c r="O9" s="83" t="str">
        <f>IFERROR(__xludf.DUMMYFUNCTION("""COMPUTED_VALUE"""),"Mosaic Maestros")</f>
        <v>Mosaic Maestros</v>
      </c>
      <c r="P9" s="83" t="str">
        <f>IFERROR(__xludf.DUMMYFUNCTION("""COMPUTED_VALUE"""),"Water")</f>
        <v>Water</v>
      </c>
      <c r="Q9" s="142"/>
      <c r="R9" s="83" t="str">
        <f>IFERROR(__xludf.DUMMYFUNCTION("""COMPUTED_VALUE"""),"Grizzly Bears")</f>
        <v>Grizzly Bears</v>
      </c>
      <c r="S9" s="83" t="str">
        <f>IFERROR(__xludf.DUMMYFUNCTION("""COMPUTED_VALUE"""),"Legati")</f>
        <v>Legati</v>
      </c>
      <c r="T9" s="83" t="str">
        <f>IFERROR(__xludf.DUMMYFUNCTION("""COMPUTED_VALUE"""),"Shadow Tails")</f>
        <v>Shadow Tails</v>
      </c>
      <c r="U9" s="83" t="str">
        <f>IFERROR(__xludf.DUMMYFUNCTION("""COMPUTED_VALUE"""),"Lycans")</f>
        <v>Lycans</v>
      </c>
      <c r="V9" s="143">
        <f>IFERROR(__xludf.DUMMYFUNCTION("""COMPUTED_VALUE"""),45896.0)</f>
        <v>45896</v>
      </c>
      <c r="W9" s="84"/>
    </row>
    <row r="10">
      <c r="A10" s="140"/>
      <c r="B10" s="141" t="str">
        <f>IFERROR(__xludf.DUMMYFUNCTION("""COMPUTED_VALUE"""),"Preseason 2")</f>
        <v>Preseason 2</v>
      </c>
      <c r="C10" s="82" t="str">
        <f>IFERROR(__xludf.DUMMYFUNCTION("""COMPUTED_VALUE"""),"Lycans")</f>
        <v>Lycans</v>
      </c>
      <c r="D10" s="110" t="str">
        <f>IFERROR(__xludf.DUMMYFUNCTION("""COMPUTED_VALUE"""),"Shadow Tails")</f>
        <v>Shadow Tails</v>
      </c>
      <c r="E10" s="110" t="str">
        <f>IFERROR(__xludf.DUMMYFUNCTION("""COMPUTED_VALUE"""),"Legati")</f>
        <v>Legati</v>
      </c>
      <c r="F10" s="110" t="str">
        <f>IFERROR(__xludf.DUMMYFUNCTION("""COMPUTED_VALUE"""),"Grizzly Bears")</f>
        <v>Grizzly Bears</v>
      </c>
      <c r="G10" s="133"/>
      <c r="H10" s="111" t="str">
        <f>IFERROR(__xludf.DUMMYFUNCTION("""COMPUTED_VALUE"""),"Water")</f>
        <v>Water</v>
      </c>
      <c r="I10" s="110" t="str">
        <f>IFERROR(__xludf.DUMMYFUNCTION("""COMPUTED_VALUE"""),"Mosaic Maestros")</f>
        <v>Mosaic Maestros</v>
      </c>
      <c r="J10" s="110" t="str">
        <f>IFERROR(__xludf.DUMMYFUNCTION("""COMPUTED_VALUE"""),"Makos")</f>
        <v>Makos</v>
      </c>
      <c r="K10" s="110" t="str">
        <f>IFERROR(__xludf.DUMMYFUNCTION("""COMPUTED_VALUE"""),"Kirin")</f>
        <v>Kirin</v>
      </c>
      <c r="L10" s="133"/>
      <c r="M10" s="111" t="str">
        <f>IFERROR(__xludf.DUMMYFUNCTION("""COMPUTED_VALUE"""),"Street Rats")</f>
        <v>Street Rats</v>
      </c>
      <c r="N10" s="110" t="str">
        <f>IFERROR(__xludf.DUMMYFUNCTION("""COMPUTED_VALUE"""),"Navigators")</f>
        <v>Navigators</v>
      </c>
      <c r="O10" s="110" t="str">
        <f>IFERROR(__xludf.DUMMYFUNCTION("""COMPUTED_VALUE"""),"Sons of Ares")</f>
        <v>Sons of Ares</v>
      </c>
      <c r="P10" s="110" t="str">
        <f>IFERROR(__xludf.DUMMYFUNCTION("""COMPUTED_VALUE"""),"Singularity")</f>
        <v>Singularity</v>
      </c>
      <c r="Q10" s="133"/>
      <c r="R10" s="111" t="str">
        <f>IFERROR(__xludf.DUMMYFUNCTION("""COMPUTED_VALUE"""),"Avalanche")</f>
        <v>Avalanche</v>
      </c>
      <c r="S10" s="110" t="str">
        <f>IFERROR(__xludf.DUMMYFUNCTION("""COMPUTED_VALUE"""),"Peppermint")</f>
        <v>Peppermint</v>
      </c>
      <c r="T10" s="110" t="str">
        <f>IFERROR(__xludf.DUMMYFUNCTION("""COMPUTED_VALUE"""),"Gorillas")</f>
        <v>Gorillas</v>
      </c>
      <c r="U10" s="110" t="str">
        <f>IFERROR(__xludf.DUMMYFUNCTION("""COMPUTED_VALUE"""),"Gargoyle")</f>
        <v>Gargoyle</v>
      </c>
      <c r="V10" s="143">
        <f>IFERROR(__xludf.DUMMYFUNCTION("""COMPUTED_VALUE"""),45903.0)</f>
        <v>45903</v>
      </c>
      <c r="W10" s="84"/>
    </row>
    <row r="11">
      <c r="A11" s="140"/>
      <c r="B11" s="141" t="str">
        <f>IFERROR(__xludf.DUMMYFUNCTION("""COMPUTED_VALUE"""),"Preseason 3")</f>
        <v>Preseason 3</v>
      </c>
      <c r="C11" s="82" t="str">
        <f>IFERROR(__xludf.DUMMYFUNCTION("""COMPUTED_VALUE"""),"Folks")</f>
        <v>Folks</v>
      </c>
      <c r="D11" s="83" t="str">
        <f>IFERROR(__xludf.DUMMYFUNCTION("""COMPUTED_VALUE"""),"Blacksmiths")</f>
        <v>Blacksmiths</v>
      </c>
      <c r="E11" s="83" t="str">
        <f>IFERROR(__xludf.DUMMYFUNCTION("""COMPUTED_VALUE"""),"Supernova")</f>
        <v>Supernova</v>
      </c>
      <c r="F11" s="83" t="str">
        <f>IFERROR(__xludf.DUMMYFUNCTION("""COMPUTED_VALUE"""),"Berserkers")</f>
        <v>Berserkers</v>
      </c>
      <c r="G11" s="133"/>
      <c r="H11" s="82" t="str">
        <f>IFERROR(__xludf.DUMMYFUNCTION("""COMPUTED_VALUE"""),"Gouda Gangsters")</f>
        <v>Gouda Gangsters</v>
      </c>
      <c r="I11" s="83" t="str">
        <f>IFERROR(__xludf.DUMMYFUNCTION("""COMPUTED_VALUE"""),"White Collars")</f>
        <v>White Collars</v>
      </c>
      <c r="J11" s="83" t="str">
        <f>IFERROR(__xludf.DUMMYFUNCTION("""COMPUTED_VALUE"""),"Merciless Mob")</f>
        <v>Merciless Mob</v>
      </c>
      <c r="K11" s="83" t="str">
        <f>IFERROR(__xludf.DUMMYFUNCTION("""COMPUTED_VALUE"""),"Nighthawks")</f>
        <v>Nighthawks</v>
      </c>
      <c r="L11" s="133"/>
      <c r="M11" s="82" t="str">
        <f>IFERROR(__xludf.DUMMYFUNCTION("""COMPUTED_VALUE"""),"Giraffes")</f>
        <v>Giraffes</v>
      </c>
      <c r="N11" s="83" t="str">
        <f>IFERROR(__xludf.DUMMYFUNCTION("""COMPUTED_VALUE"""),"Giant Squids")</f>
        <v>Giant Squids</v>
      </c>
      <c r="O11" s="83" t="str">
        <f>IFERROR(__xludf.DUMMYFUNCTION("""COMPUTED_VALUE"""),"Fer-de-Lance")</f>
        <v>Fer-de-Lance</v>
      </c>
      <c r="P11" s="83" t="str">
        <f>IFERROR(__xludf.DUMMYFUNCTION("""COMPUTED_VALUE"""),"Mages")</f>
        <v>Mages</v>
      </c>
      <c r="Q11" s="133"/>
      <c r="R11" s="82" t="str">
        <f>IFERROR(__xludf.DUMMYFUNCTION("""COMPUTED_VALUE"""),"Banshees")</f>
        <v>Banshees</v>
      </c>
      <c r="S11" s="83" t="str">
        <f>IFERROR(__xludf.DUMMYFUNCTION("""COMPUTED_VALUE"""),"Cannoli")</f>
        <v>Cannoli</v>
      </c>
      <c r="T11" s="83" t="str">
        <f>IFERROR(__xludf.DUMMYFUNCTION("""COMPUTED_VALUE"""),"Dogfight")</f>
        <v>Dogfight</v>
      </c>
      <c r="U11" s="83" t="str">
        <f>IFERROR(__xludf.DUMMYFUNCTION("""COMPUTED_VALUE"""),"Dread")</f>
        <v>Dread</v>
      </c>
      <c r="V11" s="143">
        <f>IFERROR(__xludf.DUMMYFUNCTION("""COMPUTED_VALUE"""),45908.0)</f>
        <v>45908</v>
      </c>
      <c r="W11" s="84"/>
    </row>
    <row r="12">
      <c r="A12" s="73"/>
      <c r="B12" s="55" t="str">
        <f>IFERROR(__xludf.DUMMYFUNCTION("""COMPUTED_VALUE"""),"Match Day 1")</f>
        <v>Match Day 1</v>
      </c>
      <c r="C12" s="85" t="str">
        <f>IFERROR(__xludf.DUMMYFUNCTION("""COMPUTED_VALUE"""),"Singularity")</f>
        <v>Singularity</v>
      </c>
      <c r="D12" s="86" t="str">
        <f>IFERROR(__xludf.DUMMYFUNCTION("""COMPUTED_VALUE"""),"Sons of Ares")</f>
        <v>Sons of Ares</v>
      </c>
      <c r="E12" s="86" t="str">
        <f>IFERROR(__xludf.DUMMYFUNCTION("""COMPUTED_VALUE"""),"Navigators")</f>
        <v>Navigators</v>
      </c>
      <c r="F12" s="86" t="str">
        <f>IFERROR(__xludf.DUMMYFUNCTION("""COMPUTED_VALUE"""),"Street Rats")</f>
        <v>Street Rats</v>
      </c>
      <c r="G12" s="114"/>
      <c r="H12" s="86" t="str">
        <f>IFERROR(__xludf.DUMMYFUNCTION("""COMPUTED_VALUE"""),"Gargoyle")</f>
        <v>Gargoyle</v>
      </c>
      <c r="I12" s="86" t="str">
        <f>IFERROR(__xludf.DUMMYFUNCTION("""COMPUTED_VALUE"""),"Gorillas")</f>
        <v>Gorillas</v>
      </c>
      <c r="J12" s="86" t="str">
        <f>IFERROR(__xludf.DUMMYFUNCTION("""COMPUTED_VALUE"""),"Peppermint")</f>
        <v>Peppermint</v>
      </c>
      <c r="K12" s="86" t="str">
        <f>IFERROR(__xludf.DUMMYFUNCTION("""COMPUTED_VALUE"""),"Avalanche")</f>
        <v>Avalanche</v>
      </c>
      <c r="L12" s="114"/>
      <c r="M12" s="86" t="str">
        <f>IFERROR(__xludf.DUMMYFUNCTION("""COMPUTED_VALUE"""),"Grizzly Bears")</f>
        <v>Grizzly Bears</v>
      </c>
      <c r="N12" s="86" t="str">
        <f>IFERROR(__xludf.DUMMYFUNCTION("""COMPUTED_VALUE"""),"Legati")</f>
        <v>Legati</v>
      </c>
      <c r="O12" s="86" t="str">
        <f>IFERROR(__xludf.DUMMYFUNCTION("""COMPUTED_VALUE"""),"Shadow Tails")</f>
        <v>Shadow Tails</v>
      </c>
      <c r="P12" s="86" t="str">
        <f>IFERROR(__xludf.DUMMYFUNCTION("""COMPUTED_VALUE"""),"Lycans")</f>
        <v>Lycans</v>
      </c>
      <c r="Q12" s="114"/>
      <c r="R12" s="86" t="str">
        <f>IFERROR(__xludf.DUMMYFUNCTION("""COMPUTED_VALUE"""),"Kirin")</f>
        <v>Kirin</v>
      </c>
      <c r="S12" s="86" t="str">
        <f>IFERROR(__xludf.DUMMYFUNCTION("""COMPUTED_VALUE"""),"Makos")</f>
        <v>Makos</v>
      </c>
      <c r="T12" s="86" t="str">
        <f>IFERROR(__xludf.DUMMYFUNCTION("""COMPUTED_VALUE"""),"Mosaic Maestros")</f>
        <v>Mosaic Maestros</v>
      </c>
      <c r="U12" s="86" t="str">
        <f>IFERROR(__xludf.DUMMYFUNCTION("""COMPUTED_VALUE"""),"Water")</f>
        <v>Water</v>
      </c>
      <c r="V12" s="143">
        <f>IFERROR(__xludf.DUMMYFUNCTION("""COMPUTED_VALUE"""),45910.0)</f>
        <v>45910</v>
      </c>
      <c r="W12" s="84"/>
    </row>
    <row r="13">
      <c r="A13" s="73"/>
      <c r="B13" s="55" t="str">
        <f>IFERROR(__xludf.DUMMYFUNCTION("""COMPUTED_VALUE"""),"Match Day 2")</f>
        <v>Match Day 2</v>
      </c>
      <c r="C13" s="87" t="str">
        <f>IFERROR(__xludf.DUMMYFUNCTION("""COMPUTED_VALUE"""),"Legati")</f>
        <v>Legati</v>
      </c>
      <c r="D13" s="88" t="str">
        <f>IFERROR(__xludf.DUMMYFUNCTION("""COMPUTED_VALUE"""),"Grizzly Bears")</f>
        <v>Grizzly Bears</v>
      </c>
      <c r="E13" s="88" t="str">
        <f>IFERROR(__xludf.DUMMYFUNCTION("""COMPUTED_VALUE"""),"Lycans")</f>
        <v>Lycans</v>
      </c>
      <c r="F13" s="88" t="str">
        <f>IFERROR(__xludf.DUMMYFUNCTION("""COMPUTED_VALUE"""),"Shadow Tails")</f>
        <v>Shadow Tails</v>
      </c>
      <c r="G13" s="107"/>
      <c r="H13" s="88" t="str">
        <f>IFERROR(__xludf.DUMMYFUNCTION("""COMPUTED_VALUE"""),"Makos")</f>
        <v>Makos</v>
      </c>
      <c r="I13" s="88" t="str">
        <f>IFERROR(__xludf.DUMMYFUNCTION("""COMPUTED_VALUE"""),"Kirin")</f>
        <v>Kirin</v>
      </c>
      <c r="J13" s="88" t="str">
        <f>IFERROR(__xludf.DUMMYFUNCTION("""COMPUTED_VALUE"""),"Water")</f>
        <v>Water</v>
      </c>
      <c r="K13" s="88" t="str">
        <f>IFERROR(__xludf.DUMMYFUNCTION("""COMPUTED_VALUE"""),"Mosaic Maestros")</f>
        <v>Mosaic Maestros</v>
      </c>
      <c r="L13" s="107"/>
      <c r="M13" s="88" t="str">
        <f>IFERROR(__xludf.DUMMYFUNCTION("""COMPUTED_VALUE"""),"Sons of Ares")</f>
        <v>Sons of Ares</v>
      </c>
      <c r="N13" s="88" t="str">
        <f>IFERROR(__xludf.DUMMYFUNCTION("""COMPUTED_VALUE"""),"Singularity")</f>
        <v>Singularity</v>
      </c>
      <c r="O13" s="88" t="str">
        <f>IFERROR(__xludf.DUMMYFUNCTION("""COMPUTED_VALUE"""),"Street Rats")</f>
        <v>Street Rats</v>
      </c>
      <c r="P13" s="88" t="str">
        <f>IFERROR(__xludf.DUMMYFUNCTION("""COMPUTED_VALUE"""),"Navigators")</f>
        <v>Navigators</v>
      </c>
      <c r="Q13" s="107"/>
      <c r="R13" s="88" t="str">
        <f>IFERROR(__xludf.DUMMYFUNCTION("""COMPUTED_VALUE"""),"Gorillas")</f>
        <v>Gorillas</v>
      </c>
      <c r="S13" s="88" t="str">
        <f>IFERROR(__xludf.DUMMYFUNCTION("""COMPUTED_VALUE"""),"Gargoyle")</f>
        <v>Gargoyle</v>
      </c>
      <c r="T13" s="88" t="str">
        <f>IFERROR(__xludf.DUMMYFUNCTION("""COMPUTED_VALUE"""),"Avalanche")</f>
        <v>Avalanche</v>
      </c>
      <c r="U13" s="88" t="str">
        <f>IFERROR(__xludf.DUMMYFUNCTION("""COMPUTED_VALUE"""),"Peppermint")</f>
        <v>Peppermint</v>
      </c>
      <c r="V13" s="143">
        <f>IFERROR(__xludf.DUMMYFUNCTION("""COMPUTED_VALUE"""),45915.0)</f>
        <v>45915</v>
      </c>
      <c r="W13" s="7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IFERROR(__xludf.DUMMYFUNCTION("""COMPUTED_VALUE"""),"Avalanche")</f>
        <v>Avalanche</v>
      </c>
      <c r="D14" s="119" t="str">
        <f>IFERROR(__xludf.DUMMYFUNCTION("""COMPUTED_VALUE"""),"Peppermint")</f>
        <v>Peppermint</v>
      </c>
      <c r="E14" s="119" t="str">
        <f>IFERROR(__xludf.DUMMYFUNCTION("""COMPUTED_VALUE"""),"Gorillas")</f>
        <v>Gorillas</v>
      </c>
      <c r="F14" s="119" t="str">
        <f>IFERROR(__xludf.DUMMYFUNCTION("""COMPUTED_VALUE"""),"Gargoyle")</f>
        <v>Gargoyle</v>
      </c>
      <c r="G14" s="107"/>
      <c r="H14" s="119" t="str">
        <f>IFERROR(__xludf.DUMMYFUNCTION("""COMPUTED_VALUE"""),"Street Rats")</f>
        <v>Street Rats</v>
      </c>
      <c r="I14" s="119" t="str">
        <f>IFERROR(__xludf.DUMMYFUNCTION("""COMPUTED_VALUE"""),"Navigators")</f>
        <v>Navigators</v>
      </c>
      <c r="J14" s="119" t="str">
        <f>IFERROR(__xludf.DUMMYFUNCTION("""COMPUTED_VALUE"""),"Sons of Ares")</f>
        <v>Sons of Ares</v>
      </c>
      <c r="K14" s="119" t="str">
        <f>IFERROR(__xludf.DUMMYFUNCTION("""COMPUTED_VALUE"""),"Singularity")</f>
        <v>Singularity</v>
      </c>
      <c r="L14" s="107"/>
      <c r="M14" s="119" t="str">
        <f>IFERROR(__xludf.DUMMYFUNCTION("""COMPUTED_VALUE"""),"Water")</f>
        <v>Water</v>
      </c>
      <c r="N14" s="119" t="str">
        <f>IFERROR(__xludf.DUMMYFUNCTION("""COMPUTED_VALUE"""),"Mosaic Maestros")</f>
        <v>Mosaic Maestros</v>
      </c>
      <c r="O14" s="119" t="str">
        <f>IFERROR(__xludf.DUMMYFUNCTION("""COMPUTED_VALUE"""),"Makos")</f>
        <v>Makos</v>
      </c>
      <c r="P14" s="119" t="str">
        <f>IFERROR(__xludf.DUMMYFUNCTION("""COMPUTED_VALUE"""),"Kirin")</f>
        <v>Kirin</v>
      </c>
      <c r="Q14" s="107"/>
      <c r="R14" s="119" t="str">
        <f>IFERROR(__xludf.DUMMYFUNCTION("""COMPUTED_VALUE"""),"Lycans")</f>
        <v>Lycans</v>
      </c>
      <c r="S14" s="119" t="str">
        <f>IFERROR(__xludf.DUMMYFUNCTION("""COMPUTED_VALUE"""),"Shadow Tails")</f>
        <v>Shadow Tails</v>
      </c>
      <c r="T14" s="119" t="str">
        <f>IFERROR(__xludf.DUMMYFUNCTION("""COMPUTED_VALUE"""),"Legati")</f>
        <v>Legati</v>
      </c>
      <c r="U14" s="119" t="str">
        <f>IFERROR(__xludf.DUMMYFUNCTION("""COMPUTED_VALUE"""),"Grizzly Bears")</f>
        <v>Grizzly Bears</v>
      </c>
      <c r="V14" s="143">
        <f>IFERROR(__xludf.DUMMYFUNCTION("""COMPUTED_VALUE"""),45917.0)</f>
        <v>45917</v>
      </c>
      <c r="W14" s="7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IFERROR(__xludf.DUMMYFUNCTION("""COMPUTED_VALUE"""),"Gargoyle")</f>
        <v>Gargoyle</v>
      </c>
      <c r="D15" s="119" t="str">
        <f>IFERROR(__xludf.DUMMYFUNCTION("""COMPUTED_VALUE"""),"Gorillas")</f>
        <v>Gorillas</v>
      </c>
      <c r="E15" s="119" t="str">
        <f>IFERROR(__xludf.DUMMYFUNCTION("""COMPUTED_VALUE"""),"Peppermint")</f>
        <v>Peppermint</v>
      </c>
      <c r="F15" s="119" t="str">
        <f>IFERROR(__xludf.DUMMYFUNCTION("""COMPUTED_VALUE"""),"Avalanche")</f>
        <v>Avalanche</v>
      </c>
      <c r="G15" s="107"/>
      <c r="H15" s="119" t="str">
        <f>IFERROR(__xludf.DUMMYFUNCTION("""COMPUTED_VALUE"""),"Singularity")</f>
        <v>Singularity</v>
      </c>
      <c r="I15" s="119" t="str">
        <f>IFERROR(__xludf.DUMMYFUNCTION("""COMPUTED_VALUE"""),"Sons of Ares")</f>
        <v>Sons of Ares</v>
      </c>
      <c r="J15" s="119" t="str">
        <f>IFERROR(__xludf.DUMMYFUNCTION("""COMPUTED_VALUE"""),"Navigators")</f>
        <v>Navigators</v>
      </c>
      <c r="K15" s="119" t="str">
        <f>IFERROR(__xludf.DUMMYFUNCTION("""COMPUTED_VALUE"""),"Street Rats")</f>
        <v>Street Rats</v>
      </c>
      <c r="L15" s="107"/>
      <c r="M15" s="119" t="str">
        <f>IFERROR(__xludf.DUMMYFUNCTION("""COMPUTED_VALUE"""),"Kirin")</f>
        <v>Kirin</v>
      </c>
      <c r="N15" s="119" t="str">
        <f>IFERROR(__xludf.DUMMYFUNCTION("""COMPUTED_VALUE"""),"Makos")</f>
        <v>Makos</v>
      </c>
      <c r="O15" s="119" t="str">
        <f>IFERROR(__xludf.DUMMYFUNCTION("""COMPUTED_VALUE"""),"Mosaic Maestros")</f>
        <v>Mosaic Maestros</v>
      </c>
      <c r="P15" s="119" t="str">
        <f>IFERROR(__xludf.DUMMYFUNCTION("""COMPUTED_VALUE"""),"Water")</f>
        <v>Water</v>
      </c>
      <c r="Q15" s="107"/>
      <c r="R15" s="119" t="str">
        <f>IFERROR(__xludf.DUMMYFUNCTION("""COMPUTED_VALUE"""),"Grizzly Bears")</f>
        <v>Grizzly Bears</v>
      </c>
      <c r="S15" s="119" t="str">
        <f>IFERROR(__xludf.DUMMYFUNCTION("""COMPUTED_VALUE"""),"Legati")</f>
        <v>Legati</v>
      </c>
      <c r="T15" s="119" t="str">
        <f>IFERROR(__xludf.DUMMYFUNCTION("""COMPUTED_VALUE"""),"Shadow Tails")</f>
        <v>Shadow Tails</v>
      </c>
      <c r="U15" s="119" t="str">
        <f>IFERROR(__xludf.DUMMYFUNCTION("""COMPUTED_VALUE"""),"Lycans")</f>
        <v>Lycans</v>
      </c>
      <c r="V15" s="143">
        <f>IFERROR(__xludf.DUMMYFUNCTION("""COMPUTED_VALUE"""),45922.0)</f>
        <v>45922</v>
      </c>
      <c r="W15" s="7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IFERROR(__xludf.DUMMYFUNCTION("""COMPUTED_VALUE"""),"Peppermint")</f>
        <v>Peppermint</v>
      </c>
      <c r="D16" s="119" t="str">
        <f>IFERROR(__xludf.DUMMYFUNCTION("""COMPUTED_VALUE"""),"Avalanche")</f>
        <v>Avalanche</v>
      </c>
      <c r="E16" s="119" t="str">
        <f>IFERROR(__xludf.DUMMYFUNCTION("""COMPUTED_VALUE"""),"Gargoyle")</f>
        <v>Gargoyle</v>
      </c>
      <c r="F16" s="119" t="str">
        <f>IFERROR(__xludf.DUMMYFUNCTION("""COMPUTED_VALUE"""),"Gorillas")</f>
        <v>Gorillas</v>
      </c>
      <c r="G16" s="107"/>
      <c r="H16" s="119" t="str">
        <f>IFERROR(__xludf.DUMMYFUNCTION("""COMPUTED_VALUE"""),"Navigators")</f>
        <v>Navigators</v>
      </c>
      <c r="I16" s="119" t="str">
        <f>IFERROR(__xludf.DUMMYFUNCTION("""COMPUTED_VALUE"""),"Street Rats")</f>
        <v>Street Rats</v>
      </c>
      <c r="J16" s="119" t="str">
        <f>IFERROR(__xludf.DUMMYFUNCTION("""COMPUTED_VALUE"""),"Singularity")</f>
        <v>Singularity</v>
      </c>
      <c r="K16" s="119" t="str">
        <f>IFERROR(__xludf.DUMMYFUNCTION("""COMPUTED_VALUE"""),"Sons of Ares")</f>
        <v>Sons of Ares</v>
      </c>
      <c r="L16" s="107"/>
      <c r="M16" s="119" t="str">
        <f>IFERROR(__xludf.DUMMYFUNCTION("""COMPUTED_VALUE"""),"Mosaic Maestros")</f>
        <v>Mosaic Maestros</v>
      </c>
      <c r="N16" s="119" t="str">
        <f>IFERROR(__xludf.DUMMYFUNCTION("""COMPUTED_VALUE"""),"Water")</f>
        <v>Water</v>
      </c>
      <c r="O16" s="119" t="str">
        <f>IFERROR(__xludf.DUMMYFUNCTION("""COMPUTED_VALUE"""),"Kirin")</f>
        <v>Kirin</v>
      </c>
      <c r="P16" s="119" t="str">
        <f>IFERROR(__xludf.DUMMYFUNCTION("""COMPUTED_VALUE"""),"Makos")</f>
        <v>Makos</v>
      </c>
      <c r="Q16" s="107"/>
      <c r="R16" s="119" t="str">
        <f>IFERROR(__xludf.DUMMYFUNCTION("""COMPUTED_VALUE"""),"Shadow Tails")</f>
        <v>Shadow Tails</v>
      </c>
      <c r="S16" s="119" t="str">
        <f>IFERROR(__xludf.DUMMYFUNCTION("""COMPUTED_VALUE"""),"Lycans")</f>
        <v>Lycans</v>
      </c>
      <c r="T16" s="119" t="str">
        <f>IFERROR(__xludf.DUMMYFUNCTION("""COMPUTED_VALUE"""),"Grizzly Bears")</f>
        <v>Grizzly Bears</v>
      </c>
      <c r="U16" s="119" t="str">
        <f>IFERROR(__xludf.DUMMYFUNCTION("""COMPUTED_VALUE"""),"Legati")</f>
        <v>Legati</v>
      </c>
      <c r="V16" s="143">
        <f>IFERROR(__xludf.DUMMYFUNCTION("""COMPUTED_VALUE"""),45924.0)</f>
        <v>45924</v>
      </c>
      <c r="W16" s="7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IFERROR(__xludf.DUMMYFUNCTION("""COMPUTED_VALUE"""),"White Collars")</f>
        <v>White Collars</v>
      </c>
      <c r="D17" s="122" t="str">
        <f>IFERROR(__xludf.DUMMYFUNCTION("""COMPUTED_VALUE"""),"Gouda Gangsters")</f>
        <v>Gouda Gangsters</v>
      </c>
      <c r="E17" s="122" t="str">
        <f>IFERROR(__xludf.DUMMYFUNCTION("""COMPUTED_VALUE"""),"Nighthawks")</f>
        <v>Nighthawks</v>
      </c>
      <c r="F17" s="122" t="str">
        <f>IFERROR(__xludf.DUMMYFUNCTION("""COMPUTED_VALUE"""),"Merciless Mob")</f>
        <v>Merciless Mob</v>
      </c>
      <c r="G17" s="107"/>
      <c r="H17" s="122" t="str">
        <f>IFERROR(__xludf.DUMMYFUNCTION("""COMPUTED_VALUE"""),"Blacksmiths")</f>
        <v>Blacksmiths</v>
      </c>
      <c r="I17" s="122" t="str">
        <f>IFERROR(__xludf.DUMMYFUNCTION("""COMPUTED_VALUE"""),"Folks")</f>
        <v>Folks</v>
      </c>
      <c r="J17" s="122" t="str">
        <f>IFERROR(__xludf.DUMMYFUNCTION("""COMPUTED_VALUE"""),"Berserkers")</f>
        <v>Berserkers</v>
      </c>
      <c r="K17" s="122" t="str">
        <f>IFERROR(__xludf.DUMMYFUNCTION("""COMPUTED_VALUE"""),"Supernova")</f>
        <v>Supernova</v>
      </c>
      <c r="L17" s="107"/>
      <c r="M17" s="122" t="str">
        <f>IFERROR(__xludf.DUMMYFUNCTION("""COMPUTED_VALUE"""),"Cannoli")</f>
        <v>Cannoli</v>
      </c>
      <c r="N17" s="122" t="str">
        <f>IFERROR(__xludf.DUMMYFUNCTION("""COMPUTED_VALUE"""),"Banshees")</f>
        <v>Banshees</v>
      </c>
      <c r="O17" s="122" t="str">
        <f>IFERROR(__xludf.DUMMYFUNCTION("""COMPUTED_VALUE"""),"Dread")</f>
        <v>Dread</v>
      </c>
      <c r="P17" s="122" t="str">
        <f>IFERROR(__xludf.DUMMYFUNCTION("""COMPUTED_VALUE"""),"Dogfight")</f>
        <v>Dogfight</v>
      </c>
      <c r="Q17" s="107"/>
      <c r="R17" s="122" t="str">
        <f>IFERROR(__xludf.DUMMYFUNCTION("""COMPUTED_VALUE"""),"Giant Squids")</f>
        <v>Giant Squids</v>
      </c>
      <c r="S17" s="122" t="str">
        <f>IFERROR(__xludf.DUMMYFUNCTION("""COMPUTED_VALUE"""),"Giraffes")</f>
        <v>Giraffes</v>
      </c>
      <c r="T17" s="122" t="str">
        <f>IFERROR(__xludf.DUMMYFUNCTION("""COMPUTED_VALUE"""),"Mages")</f>
        <v>Mages</v>
      </c>
      <c r="U17" s="122" t="str">
        <f>IFERROR(__xludf.DUMMYFUNCTION("""COMPUTED_VALUE"""),"Fer-de-Lance")</f>
        <v>Fer-de-Lance</v>
      </c>
      <c r="V17" s="143">
        <f>IFERROR(__xludf.DUMMYFUNCTION("""COMPUTED_VALUE"""),45929.0)</f>
        <v>45929</v>
      </c>
      <c r="W17" s="7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IFERROR(__xludf.DUMMYFUNCTION("""COMPUTED_VALUE"""),"Gouda Gangsters")</f>
        <v>Gouda Gangsters</v>
      </c>
      <c r="D18" s="122" t="str">
        <f>IFERROR(__xludf.DUMMYFUNCTION("""COMPUTED_VALUE"""),"White Collars")</f>
        <v>White Collars</v>
      </c>
      <c r="E18" s="122" t="str">
        <f>IFERROR(__xludf.DUMMYFUNCTION("""COMPUTED_VALUE"""),"Merciless Mob")</f>
        <v>Merciless Mob</v>
      </c>
      <c r="F18" s="122" t="str">
        <f>IFERROR(__xludf.DUMMYFUNCTION("""COMPUTED_VALUE"""),"Nighthawks")</f>
        <v>Nighthawks</v>
      </c>
      <c r="G18" s="107"/>
      <c r="H18" s="122" t="str">
        <f>IFERROR(__xludf.DUMMYFUNCTION("""COMPUTED_VALUE"""),"Folks")</f>
        <v>Folks</v>
      </c>
      <c r="I18" s="122" t="str">
        <f>IFERROR(__xludf.DUMMYFUNCTION("""COMPUTED_VALUE"""),"Blacksmiths")</f>
        <v>Blacksmiths</v>
      </c>
      <c r="J18" s="122" t="str">
        <f>IFERROR(__xludf.DUMMYFUNCTION("""COMPUTED_VALUE"""),"Supernova")</f>
        <v>Supernova</v>
      </c>
      <c r="K18" s="122" t="str">
        <f>IFERROR(__xludf.DUMMYFUNCTION("""COMPUTED_VALUE"""),"Berserkers")</f>
        <v>Berserkers</v>
      </c>
      <c r="L18" s="107"/>
      <c r="M18" s="122" t="str">
        <f>IFERROR(__xludf.DUMMYFUNCTION("""COMPUTED_VALUE"""),"Banshees")</f>
        <v>Banshees</v>
      </c>
      <c r="N18" s="122" t="str">
        <f>IFERROR(__xludf.DUMMYFUNCTION("""COMPUTED_VALUE"""),"Cannoli")</f>
        <v>Cannoli</v>
      </c>
      <c r="O18" s="122" t="str">
        <f>IFERROR(__xludf.DUMMYFUNCTION("""COMPUTED_VALUE"""),"Dogfight")</f>
        <v>Dogfight</v>
      </c>
      <c r="P18" s="122" t="str">
        <f>IFERROR(__xludf.DUMMYFUNCTION("""COMPUTED_VALUE"""),"Dread")</f>
        <v>Dread</v>
      </c>
      <c r="Q18" s="107"/>
      <c r="R18" s="122" t="str">
        <f>IFERROR(__xludf.DUMMYFUNCTION("""COMPUTED_VALUE"""),"Giraffes")</f>
        <v>Giraffes</v>
      </c>
      <c r="S18" s="122" t="str">
        <f>IFERROR(__xludf.DUMMYFUNCTION("""COMPUTED_VALUE"""),"Giant Squids")</f>
        <v>Giant Squids</v>
      </c>
      <c r="T18" s="122" t="str">
        <f>IFERROR(__xludf.DUMMYFUNCTION("""COMPUTED_VALUE"""),"Fer-de-Lance")</f>
        <v>Fer-de-Lance</v>
      </c>
      <c r="U18" s="122" t="str">
        <f>IFERROR(__xludf.DUMMYFUNCTION("""COMPUTED_VALUE"""),"Mages")</f>
        <v>Mages</v>
      </c>
      <c r="V18" s="143">
        <f>IFERROR(__xludf.DUMMYFUNCTION("""COMPUTED_VALUE"""),45931.0)</f>
        <v>45931</v>
      </c>
      <c r="W18" s="7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IFERROR(__xludf.DUMMYFUNCTION("""COMPUTED_VALUE"""),"Merciless Mob")</f>
        <v>Merciless Mob</v>
      </c>
      <c r="D19" s="122" t="str">
        <f>IFERROR(__xludf.DUMMYFUNCTION("""COMPUTED_VALUE"""),"Nighthawks")</f>
        <v>Nighthawks</v>
      </c>
      <c r="E19" s="122" t="str">
        <f>IFERROR(__xludf.DUMMYFUNCTION("""COMPUTED_VALUE"""),"Gouda Gangsters")</f>
        <v>Gouda Gangsters</v>
      </c>
      <c r="F19" s="122" t="str">
        <f>IFERROR(__xludf.DUMMYFUNCTION("""COMPUTED_VALUE"""),"White Collars")</f>
        <v>White Collars</v>
      </c>
      <c r="G19" s="107"/>
      <c r="H19" s="122" t="str">
        <f>IFERROR(__xludf.DUMMYFUNCTION("""COMPUTED_VALUE"""),"Supernova")</f>
        <v>Supernova</v>
      </c>
      <c r="I19" s="122" t="str">
        <f>IFERROR(__xludf.DUMMYFUNCTION("""COMPUTED_VALUE"""),"Berserkers")</f>
        <v>Berserkers</v>
      </c>
      <c r="J19" s="122" t="str">
        <f>IFERROR(__xludf.DUMMYFUNCTION("""COMPUTED_VALUE"""),"Folks")</f>
        <v>Folks</v>
      </c>
      <c r="K19" s="122" t="str">
        <f>IFERROR(__xludf.DUMMYFUNCTION("""COMPUTED_VALUE"""),"Blacksmiths")</f>
        <v>Blacksmiths</v>
      </c>
      <c r="L19" s="107"/>
      <c r="M19" s="122" t="str">
        <f>IFERROR(__xludf.DUMMYFUNCTION("""COMPUTED_VALUE"""),"Dogfight")</f>
        <v>Dogfight</v>
      </c>
      <c r="N19" s="122" t="str">
        <f>IFERROR(__xludf.DUMMYFUNCTION("""COMPUTED_VALUE"""),"Dread")</f>
        <v>Dread</v>
      </c>
      <c r="O19" s="122" t="str">
        <f>IFERROR(__xludf.DUMMYFUNCTION("""COMPUTED_VALUE"""),"Banshees")</f>
        <v>Banshees</v>
      </c>
      <c r="P19" s="122" t="str">
        <f>IFERROR(__xludf.DUMMYFUNCTION("""COMPUTED_VALUE"""),"Cannoli")</f>
        <v>Cannoli</v>
      </c>
      <c r="Q19" s="107"/>
      <c r="R19" s="122" t="str">
        <f>IFERROR(__xludf.DUMMYFUNCTION("""COMPUTED_VALUE"""),"Fer-de-Lance")</f>
        <v>Fer-de-Lance</v>
      </c>
      <c r="S19" s="122" t="str">
        <f>IFERROR(__xludf.DUMMYFUNCTION("""COMPUTED_VALUE"""),"Mages")</f>
        <v>Mages</v>
      </c>
      <c r="T19" s="122" t="str">
        <f>IFERROR(__xludf.DUMMYFUNCTION("""COMPUTED_VALUE"""),"Giraffes")</f>
        <v>Giraffes</v>
      </c>
      <c r="U19" s="122" t="str">
        <f>IFERROR(__xludf.DUMMYFUNCTION("""COMPUTED_VALUE"""),"Giant Squids")</f>
        <v>Giant Squids</v>
      </c>
      <c r="V19" s="143">
        <f>IFERROR(__xludf.DUMMYFUNCTION("""COMPUTED_VALUE"""),45936.0)</f>
        <v>45936</v>
      </c>
      <c r="W19" s="73"/>
    </row>
    <row r="20">
      <c r="A20" s="73"/>
      <c r="B20" s="67" t="str">
        <f>IFERROR(__xludf.DUMMYFUNCTION("""COMPUTED_VALUE"""),"Match Day 9")</f>
        <v>Match Day 9</v>
      </c>
      <c r="C20" s="121" t="str">
        <f>IFERROR(__xludf.DUMMYFUNCTION("""COMPUTED_VALUE"""),"Nighthawks")</f>
        <v>Nighthawks</v>
      </c>
      <c r="D20" s="122" t="str">
        <f>IFERROR(__xludf.DUMMYFUNCTION("""COMPUTED_VALUE"""),"Merciless Mob")</f>
        <v>Merciless Mob</v>
      </c>
      <c r="E20" s="122" t="str">
        <f>IFERROR(__xludf.DUMMYFUNCTION("""COMPUTED_VALUE"""),"White Collars")</f>
        <v>White Collars</v>
      </c>
      <c r="F20" s="122" t="str">
        <f>IFERROR(__xludf.DUMMYFUNCTION("""COMPUTED_VALUE"""),"Gouda Gangsters")</f>
        <v>Gouda Gangsters</v>
      </c>
      <c r="G20" s="107"/>
      <c r="H20" s="122" t="str">
        <f>IFERROR(__xludf.DUMMYFUNCTION("""COMPUTED_VALUE"""),"Berserkers")</f>
        <v>Berserkers</v>
      </c>
      <c r="I20" s="122" t="str">
        <f>IFERROR(__xludf.DUMMYFUNCTION("""COMPUTED_VALUE"""),"Supernova")</f>
        <v>Supernova</v>
      </c>
      <c r="J20" s="122" t="str">
        <f>IFERROR(__xludf.DUMMYFUNCTION("""COMPUTED_VALUE"""),"Blacksmiths")</f>
        <v>Blacksmiths</v>
      </c>
      <c r="K20" s="122" t="str">
        <f>IFERROR(__xludf.DUMMYFUNCTION("""COMPUTED_VALUE"""),"Folks")</f>
        <v>Folks</v>
      </c>
      <c r="L20" s="107"/>
      <c r="M20" s="122" t="str">
        <f>IFERROR(__xludf.DUMMYFUNCTION("""COMPUTED_VALUE"""),"Dread")</f>
        <v>Dread</v>
      </c>
      <c r="N20" s="122" t="str">
        <f>IFERROR(__xludf.DUMMYFUNCTION("""COMPUTED_VALUE"""),"Dogfight")</f>
        <v>Dogfight</v>
      </c>
      <c r="O20" s="122" t="str">
        <f>IFERROR(__xludf.DUMMYFUNCTION("""COMPUTED_VALUE"""),"Cannoli")</f>
        <v>Cannoli</v>
      </c>
      <c r="P20" s="122" t="str">
        <f>IFERROR(__xludf.DUMMYFUNCTION("""COMPUTED_VALUE"""),"Banshees")</f>
        <v>Banshees</v>
      </c>
      <c r="Q20" s="107"/>
      <c r="R20" s="122" t="str">
        <f>IFERROR(__xludf.DUMMYFUNCTION("""COMPUTED_VALUE"""),"Mages")</f>
        <v>Mages</v>
      </c>
      <c r="S20" s="122" t="str">
        <f>IFERROR(__xludf.DUMMYFUNCTION("""COMPUTED_VALUE"""),"Fer-de-Lance")</f>
        <v>Fer-de-Lance</v>
      </c>
      <c r="T20" s="122" t="str">
        <f>IFERROR(__xludf.DUMMYFUNCTION("""COMPUTED_VALUE"""),"Giant Squids")</f>
        <v>Giant Squids</v>
      </c>
      <c r="U20" s="122" t="str">
        <f>IFERROR(__xludf.DUMMYFUNCTION("""COMPUTED_VALUE"""),"Giraffes")</f>
        <v>Giraffes</v>
      </c>
      <c r="V20" s="143">
        <f>IFERROR(__xludf.DUMMYFUNCTION("""COMPUTED_VALUE"""),45938.0)</f>
        <v>45938</v>
      </c>
      <c r="W20" s="73"/>
    </row>
    <row r="21">
      <c r="A21" s="73"/>
      <c r="B21" s="55" t="str">
        <f>IFERROR(__xludf.DUMMYFUNCTION("""COMPUTED_VALUE"""),"Match Day 10")</f>
        <v>Match Day 10</v>
      </c>
      <c r="C21" s="87" t="str">
        <f>IFERROR(__xludf.DUMMYFUNCTION("""COMPUTED_VALUE"""),"Makos")</f>
        <v>Makos</v>
      </c>
      <c r="D21" s="88" t="str">
        <f>IFERROR(__xludf.DUMMYFUNCTION("""COMPUTED_VALUE"""),"Kirin")</f>
        <v>Kirin</v>
      </c>
      <c r="E21" s="88" t="str">
        <f>IFERROR(__xludf.DUMMYFUNCTION("""COMPUTED_VALUE"""),"Water")</f>
        <v>Water</v>
      </c>
      <c r="F21" s="88" t="str">
        <f>IFERROR(__xludf.DUMMYFUNCTION("""COMPUTED_VALUE"""),"Mosaic Maestros")</f>
        <v>Mosaic Maestros</v>
      </c>
      <c r="G21" s="107"/>
      <c r="H21" s="88" t="str">
        <f>IFERROR(__xludf.DUMMYFUNCTION("""COMPUTED_VALUE"""),"Legati")</f>
        <v>Legati</v>
      </c>
      <c r="I21" s="88" t="str">
        <f>IFERROR(__xludf.DUMMYFUNCTION("""COMPUTED_VALUE"""),"Grizzly Bears")</f>
        <v>Grizzly Bears</v>
      </c>
      <c r="J21" s="88" t="str">
        <f>IFERROR(__xludf.DUMMYFUNCTION("""COMPUTED_VALUE"""),"Lycans")</f>
        <v>Lycans</v>
      </c>
      <c r="K21" s="88" t="str">
        <f>IFERROR(__xludf.DUMMYFUNCTION("""COMPUTED_VALUE"""),"Shadow Tails")</f>
        <v>Shadow Tails</v>
      </c>
      <c r="L21" s="107"/>
      <c r="M21" s="88" t="str">
        <f>IFERROR(__xludf.DUMMYFUNCTION("""COMPUTED_VALUE"""),"Gorillas")</f>
        <v>Gorillas</v>
      </c>
      <c r="N21" s="88" t="str">
        <f>IFERROR(__xludf.DUMMYFUNCTION("""COMPUTED_VALUE"""),"Gargoyle")</f>
        <v>Gargoyle</v>
      </c>
      <c r="O21" s="88" t="str">
        <f>IFERROR(__xludf.DUMMYFUNCTION("""COMPUTED_VALUE"""),"Avalanche")</f>
        <v>Avalanche</v>
      </c>
      <c r="P21" s="88" t="str">
        <f>IFERROR(__xludf.DUMMYFUNCTION("""COMPUTED_VALUE"""),"Peppermint")</f>
        <v>Peppermint</v>
      </c>
      <c r="Q21" s="107"/>
      <c r="R21" s="88" t="str">
        <f>IFERROR(__xludf.DUMMYFUNCTION("""COMPUTED_VALUE"""),"Sons of Ares")</f>
        <v>Sons of Ares</v>
      </c>
      <c r="S21" s="88" t="str">
        <f>IFERROR(__xludf.DUMMYFUNCTION("""COMPUTED_VALUE"""),"Singularity")</f>
        <v>Singularity</v>
      </c>
      <c r="T21" s="88" t="str">
        <f>IFERROR(__xludf.DUMMYFUNCTION("""COMPUTED_VALUE"""),"Street Rats")</f>
        <v>Street Rats</v>
      </c>
      <c r="U21" s="88" t="str">
        <f>IFERROR(__xludf.DUMMYFUNCTION("""COMPUTED_VALUE"""),"Navigators")</f>
        <v>Navigators</v>
      </c>
      <c r="V21" s="143">
        <f>IFERROR(__xludf.DUMMYFUNCTION("""COMPUTED_VALUE"""),45945.0)</f>
        <v>45945</v>
      </c>
      <c r="W21" s="73"/>
    </row>
    <row r="22">
      <c r="A22" s="73"/>
      <c r="B22" s="55" t="str">
        <f>IFERROR(__xludf.DUMMYFUNCTION("""COMPUTED_VALUE"""),"Match Day 11")</f>
        <v>Match Day 11</v>
      </c>
      <c r="C22" s="87" t="str">
        <f>IFERROR(__xludf.DUMMYFUNCTION("""COMPUTED_VALUE"""),"Kirin")</f>
        <v>Kirin</v>
      </c>
      <c r="D22" s="88" t="str">
        <f>IFERROR(__xludf.DUMMYFUNCTION("""COMPUTED_VALUE"""),"Makos")</f>
        <v>Makos</v>
      </c>
      <c r="E22" s="88" t="str">
        <f>IFERROR(__xludf.DUMMYFUNCTION("""COMPUTED_VALUE"""),"Mosaic Maestros")</f>
        <v>Mosaic Maestros</v>
      </c>
      <c r="F22" s="88" t="str">
        <f>IFERROR(__xludf.DUMMYFUNCTION("""COMPUTED_VALUE"""),"Water")</f>
        <v>Water</v>
      </c>
      <c r="G22" s="107"/>
      <c r="H22" s="88" t="str">
        <f>IFERROR(__xludf.DUMMYFUNCTION("""COMPUTED_VALUE"""),"Grizzly Bears")</f>
        <v>Grizzly Bears</v>
      </c>
      <c r="I22" s="88" t="str">
        <f>IFERROR(__xludf.DUMMYFUNCTION("""COMPUTED_VALUE"""),"Legati")</f>
        <v>Legati</v>
      </c>
      <c r="J22" s="88" t="str">
        <f>IFERROR(__xludf.DUMMYFUNCTION("""COMPUTED_VALUE"""),"Shadow Tails")</f>
        <v>Shadow Tails</v>
      </c>
      <c r="K22" s="88" t="str">
        <f>IFERROR(__xludf.DUMMYFUNCTION("""COMPUTED_VALUE"""),"Lycans")</f>
        <v>Lycans</v>
      </c>
      <c r="L22" s="107"/>
      <c r="M22" s="88" t="str">
        <f>IFERROR(__xludf.DUMMYFUNCTION("""COMPUTED_VALUE"""),"Gargoyle")</f>
        <v>Gargoyle</v>
      </c>
      <c r="N22" s="88" t="str">
        <f>IFERROR(__xludf.DUMMYFUNCTION("""COMPUTED_VALUE"""),"Gorillas")</f>
        <v>Gorillas</v>
      </c>
      <c r="O22" s="88" t="str">
        <f>IFERROR(__xludf.DUMMYFUNCTION("""COMPUTED_VALUE"""),"Peppermint")</f>
        <v>Peppermint</v>
      </c>
      <c r="P22" s="88" t="str">
        <f>IFERROR(__xludf.DUMMYFUNCTION("""COMPUTED_VALUE"""),"Avalanche")</f>
        <v>Avalanche</v>
      </c>
      <c r="Q22" s="107"/>
      <c r="R22" s="88" t="str">
        <f>IFERROR(__xludf.DUMMYFUNCTION("""COMPUTED_VALUE"""),"Singularity")</f>
        <v>Singularity</v>
      </c>
      <c r="S22" s="88" t="str">
        <f>IFERROR(__xludf.DUMMYFUNCTION("""COMPUTED_VALUE"""),"Sons of Ares")</f>
        <v>Sons of Ares</v>
      </c>
      <c r="T22" s="88" t="str">
        <f>IFERROR(__xludf.DUMMYFUNCTION("""COMPUTED_VALUE"""),"Navigators")</f>
        <v>Navigators</v>
      </c>
      <c r="U22" s="88" t="str">
        <f>IFERROR(__xludf.DUMMYFUNCTION("""COMPUTED_VALUE"""),"Street Rats")</f>
        <v>Street Rats</v>
      </c>
      <c r="V22" s="143">
        <f>IFERROR(__xludf.DUMMYFUNCTION("""COMPUTED_VALUE"""),45950.0)</f>
        <v>45950</v>
      </c>
      <c r="W22" s="73"/>
    </row>
    <row r="23">
      <c r="A23" s="73"/>
      <c r="B23" s="68" t="str">
        <f>IFERROR(__xludf.DUMMYFUNCTION("""COMPUTED_VALUE"""),"Match Day 12")</f>
        <v>Match Day 12</v>
      </c>
      <c r="C23" s="87" t="str">
        <f>IFERROR(__xludf.DUMMYFUNCTION("""COMPUTED_VALUE"""),"Water")</f>
        <v>Water</v>
      </c>
      <c r="D23" s="88" t="str">
        <f>IFERROR(__xludf.DUMMYFUNCTION("""COMPUTED_VALUE"""),"Mosaic Maestros")</f>
        <v>Mosaic Maestros</v>
      </c>
      <c r="E23" s="88" t="str">
        <f>IFERROR(__xludf.DUMMYFUNCTION("""COMPUTED_VALUE"""),"Makos")</f>
        <v>Makos</v>
      </c>
      <c r="F23" s="88" t="str">
        <f>IFERROR(__xludf.DUMMYFUNCTION("""COMPUTED_VALUE"""),"Kirin")</f>
        <v>Kirin</v>
      </c>
      <c r="G23" s="107"/>
      <c r="H23" s="88" t="str">
        <f>IFERROR(__xludf.DUMMYFUNCTION("""COMPUTED_VALUE"""),"Lycans")</f>
        <v>Lycans</v>
      </c>
      <c r="I23" s="88" t="str">
        <f>IFERROR(__xludf.DUMMYFUNCTION("""COMPUTED_VALUE"""),"Shadow Tails")</f>
        <v>Shadow Tails</v>
      </c>
      <c r="J23" s="88" t="str">
        <f>IFERROR(__xludf.DUMMYFUNCTION("""COMPUTED_VALUE"""),"Legati")</f>
        <v>Legati</v>
      </c>
      <c r="K23" s="88" t="str">
        <f>IFERROR(__xludf.DUMMYFUNCTION("""COMPUTED_VALUE"""),"Grizzly Bears")</f>
        <v>Grizzly Bears</v>
      </c>
      <c r="L23" s="107"/>
      <c r="M23" s="88" t="str">
        <f>IFERROR(__xludf.DUMMYFUNCTION("""COMPUTED_VALUE"""),"Avalanche")</f>
        <v>Avalanche</v>
      </c>
      <c r="N23" s="88" t="str">
        <f>IFERROR(__xludf.DUMMYFUNCTION("""COMPUTED_VALUE"""),"Peppermint")</f>
        <v>Peppermint</v>
      </c>
      <c r="O23" s="88" t="str">
        <f>IFERROR(__xludf.DUMMYFUNCTION("""COMPUTED_VALUE"""),"Gorillas")</f>
        <v>Gorillas</v>
      </c>
      <c r="P23" s="88" t="str">
        <f>IFERROR(__xludf.DUMMYFUNCTION("""COMPUTED_VALUE"""),"Gargoyle")</f>
        <v>Gargoyle</v>
      </c>
      <c r="Q23" s="107"/>
      <c r="R23" s="88" t="str">
        <f>IFERROR(__xludf.DUMMYFUNCTION("""COMPUTED_VALUE"""),"Street Rats")</f>
        <v>Street Rats</v>
      </c>
      <c r="S23" s="88" t="str">
        <f>IFERROR(__xludf.DUMMYFUNCTION("""COMPUTED_VALUE"""),"Navigators")</f>
        <v>Navigators</v>
      </c>
      <c r="T23" s="88" t="str">
        <f>IFERROR(__xludf.DUMMYFUNCTION("""COMPUTED_VALUE"""),"Sons of Ares")</f>
        <v>Sons of Ares</v>
      </c>
      <c r="U23" s="88" t="str">
        <f>IFERROR(__xludf.DUMMYFUNCTION("""COMPUTED_VALUE"""),"Singularity")</f>
        <v>Singularity</v>
      </c>
      <c r="V23" s="143">
        <f>IFERROR(__xludf.DUMMYFUNCTION("""COMPUTED_VALUE"""),45952.0)</f>
        <v>45952</v>
      </c>
      <c r="W23" s="73"/>
    </row>
    <row r="24">
      <c r="A24" s="73"/>
      <c r="B24" s="68" t="str">
        <f>IFERROR(__xludf.DUMMYFUNCTION("""COMPUTED_VALUE"""),"Match Day 13")</f>
        <v>Match Day 13</v>
      </c>
      <c r="C24" s="87" t="str">
        <f>IFERROR(__xludf.DUMMYFUNCTION("""COMPUTED_VALUE"""),"Mosaic Maestros")</f>
        <v>Mosaic Maestros</v>
      </c>
      <c r="D24" s="88" t="str">
        <f>IFERROR(__xludf.DUMMYFUNCTION("""COMPUTED_VALUE"""),"Water")</f>
        <v>Water</v>
      </c>
      <c r="E24" s="88" t="str">
        <f>IFERROR(__xludf.DUMMYFUNCTION("""COMPUTED_VALUE"""),"Kirin")</f>
        <v>Kirin</v>
      </c>
      <c r="F24" s="88" t="str">
        <f>IFERROR(__xludf.DUMMYFUNCTION("""COMPUTED_VALUE"""),"Makos")</f>
        <v>Makos</v>
      </c>
      <c r="G24" s="107"/>
      <c r="H24" s="88" t="str">
        <f>IFERROR(__xludf.DUMMYFUNCTION("""COMPUTED_VALUE"""),"Shadow Tails")</f>
        <v>Shadow Tails</v>
      </c>
      <c r="I24" s="88" t="str">
        <f>IFERROR(__xludf.DUMMYFUNCTION("""COMPUTED_VALUE"""),"Lycans")</f>
        <v>Lycans</v>
      </c>
      <c r="J24" s="88" t="str">
        <f>IFERROR(__xludf.DUMMYFUNCTION("""COMPUTED_VALUE"""),"Grizzly Bears")</f>
        <v>Grizzly Bears</v>
      </c>
      <c r="K24" s="88" t="str">
        <f>IFERROR(__xludf.DUMMYFUNCTION("""COMPUTED_VALUE"""),"Legati")</f>
        <v>Legati</v>
      </c>
      <c r="L24" s="107"/>
      <c r="M24" s="88" t="str">
        <f>IFERROR(__xludf.DUMMYFUNCTION("""COMPUTED_VALUE"""),"Peppermint")</f>
        <v>Peppermint</v>
      </c>
      <c r="N24" s="88" t="str">
        <f>IFERROR(__xludf.DUMMYFUNCTION("""COMPUTED_VALUE"""),"Avalanche")</f>
        <v>Avalanche</v>
      </c>
      <c r="O24" s="88" t="str">
        <f>IFERROR(__xludf.DUMMYFUNCTION("""COMPUTED_VALUE"""),"Gargoyle")</f>
        <v>Gargoyle</v>
      </c>
      <c r="P24" s="88" t="str">
        <f>IFERROR(__xludf.DUMMYFUNCTION("""COMPUTED_VALUE"""),"Gorillas")</f>
        <v>Gorillas</v>
      </c>
      <c r="Q24" s="107"/>
      <c r="R24" s="88" t="str">
        <f>IFERROR(__xludf.DUMMYFUNCTION("""COMPUTED_VALUE"""),"Navigators")</f>
        <v>Navigators</v>
      </c>
      <c r="S24" s="88" t="str">
        <f>IFERROR(__xludf.DUMMYFUNCTION("""COMPUTED_VALUE"""),"Street Rats")</f>
        <v>Street Rats</v>
      </c>
      <c r="T24" s="88" t="str">
        <f>IFERROR(__xludf.DUMMYFUNCTION("""COMPUTED_VALUE"""),"Singularity")</f>
        <v>Singularity</v>
      </c>
      <c r="U24" s="88" t="str">
        <f>IFERROR(__xludf.DUMMYFUNCTION("""COMPUTED_VALUE"""),"Sons of Ares")</f>
        <v>Sons of Ares</v>
      </c>
      <c r="V24" s="143">
        <f>IFERROR(__xludf.DUMMYFUNCTION("""COMPUTED_VALUE"""),45957.0)</f>
        <v>45957</v>
      </c>
      <c r="W24" s="7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IFERROR(__xludf.DUMMYFUNCTION("""COMPUTED_VALUE"""),"Avalanche")</f>
        <v>Avalanche</v>
      </c>
      <c r="D25" s="119" t="str">
        <f>IFERROR(__xludf.DUMMYFUNCTION("""COMPUTED_VALUE"""),"Peppermint")</f>
        <v>Peppermint</v>
      </c>
      <c r="E25" s="119" t="str">
        <f>IFERROR(__xludf.DUMMYFUNCTION("""COMPUTED_VALUE"""),"Gorillas")</f>
        <v>Gorillas</v>
      </c>
      <c r="F25" s="119" t="str">
        <f>IFERROR(__xludf.DUMMYFUNCTION("""COMPUTED_VALUE"""),"Gargoyle")</f>
        <v>Gargoyle</v>
      </c>
      <c r="G25" s="107"/>
      <c r="H25" s="119" t="str">
        <f>IFERROR(__xludf.DUMMYFUNCTION("""COMPUTED_VALUE"""),"Street Rats")</f>
        <v>Street Rats</v>
      </c>
      <c r="I25" s="119" t="str">
        <f>IFERROR(__xludf.DUMMYFUNCTION("""COMPUTED_VALUE"""),"Navigators")</f>
        <v>Navigators</v>
      </c>
      <c r="J25" s="119" t="str">
        <f>IFERROR(__xludf.DUMMYFUNCTION("""COMPUTED_VALUE"""),"Sons of Ares")</f>
        <v>Sons of Ares</v>
      </c>
      <c r="K25" s="119" t="str">
        <f>IFERROR(__xludf.DUMMYFUNCTION("""COMPUTED_VALUE"""),"Singularity")</f>
        <v>Singularity</v>
      </c>
      <c r="L25" s="107"/>
      <c r="M25" s="119" t="str">
        <f>IFERROR(__xludf.DUMMYFUNCTION("""COMPUTED_VALUE"""),"Water")</f>
        <v>Water</v>
      </c>
      <c r="N25" s="119" t="str">
        <f>IFERROR(__xludf.DUMMYFUNCTION("""COMPUTED_VALUE"""),"Mosaic Maestros")</f>
        <v>Mosaic Maestros</v>
      </c>
      <c r="O25" s="119" t="str">
        <f>IFERROR(__xludf.DUMMYFUNCTION("""COMPUTED_VALUE"""),"Makos")</f>
        <v>Makos</v>
      </c>
      <c r="P25" s="119" t="str">
        <f>IFERROR(__xludf.DUMMYFUNCTION("""COMPUTED_VALUE"""),"Kirin")</f>
        <v>Kirin</v>
      </c>
      <c r="Q25" s="107"/>
      <c r="R25" s="119" t="str">
        <f>IFERROR(__xludf.DUMMYFUNCTION("""COMPUTED_VALUE"""),"Lycans")</f>
        <v>Lycans</v>
      </c>
      <c r="S25" s="119" t="str">
        <f>IFERROR(__xludf.DUMMYFUNCTION("""COMPUTED_VALUE"""),"Shadow Tails")</f>
        <v>Shadow Tails</v>
      </c>
      <c r="T25" s="119" t="str">
        <f>IFERROR(__xludf.DUMMYFUNCTION("""COMPUTED_VALUE"""),"Legati")</f>
        <v>Legati</v>
      </c>
      <c r="U25" s="119" t="str">
        <f>IFERROR(__xludf.DUMMYFUNCTION("""COMPUTED_VALUE"""),"Grizzly Bears")</f>
        <v>Grizzly Bears</v>
      </c>
      <c r="V25" s="143">
        <f>IFERROR(__xludf.DUMMYFUNCTION("""COMPUTED_VALUE"""),45959.0)</f>
        <v>45959</v>
      </c>
      <c r="W25" s="7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IFERROR(__xludf.DUMMYFUNCTION("""COMPUTED_VALUE"""),"Gargoyle")</f>
        <v>Gargoyle</v>
      </c>
      <c r="D26" s="119" t="str">
        <f>IFERROR(__xludf.DUMMYFUNCTION("""COMPUTED_VALUE"""),"Gorillas")</f>
        <v>Gorillas</v>
      </c>
      <c r="E26" s="119" t="str">
        <f>IFERROR(__xludf.DUMMYFUNCTION("""COMPUTED_VALUE"""),"Peppermint")</f>
        <v>Peppermint</v>
      </c>
      <c r="F26" s="119" t="str">
        <f>IFERROR(__xludf.DUMMYFUNCTION("""COMPUTED_VALUE"""),"Avalanche")</f>
        <v>Avalanche</v>
      </c>
      <c r="G26" s="107"/>
      <c r="H26" s="119" t="str">
        <f>IFERROR(__xludf.DUMMYFUNCTION("""COMPUTED_VALUE"""),"Singularity")</f>
        <v>Singularity</v>
      </c>
      <c r="I26" s="119" t="str">
        <f>IFERROR(__xludf.DUMMYFUNCTION("""COMPUTED_VALUE"""),"Sons of Ares")</f>
        <v>Sons of Ares</v>
      </c>
      <c r="J26" s="119" t="str">
        <f>IFERROR(__xludf.DUMMYFUNCTION("""COMPUTED_VALUE"""),"Navigators")</f>
        <v>Navigators</v>
      </c>
      <c r="K26" s="119" t="str">
        <f>IFERROR(__xludf.DUMMYFUNCTION("""COMPUTED_VALUE"""),"Street Rats")</f>
        <v>Street Rats</v>
      </c>
      <c r="L26" s="107"/>
      <c r="M26" s="119" t="str">
        <f>IFERROR(__xludf.DUMMYFUNCTION("""COMPUTED_VALUE"""),"Kirin")</f>
        <v>Kirin</v>
      </c>
      <c r="N26" s="119" t="str">
        <f>IFERROR(__xludf.DUMMYFUNCTION("""COMPUTED_VALUE"""),"Makos")</f>
        <v>Makos</v>
      </c>
      <c r="O26" s="119" t="str">
        <f>IFERROR(__xludf.DUMMYFUNCTION("""COMPUTED_VALUE"""),"Mosaic Maestros")</f>
        <v>Mosaic Maestros</v>
      </c>
      <c r="P26" s="119" t="str">
        <f>IFERROR(__xludf.DUMMYFUNCTION("""COMPUTED_VALUE"""),"Water")</f>
        <v>Water</v>
      </c>
      <c r="Q26" s="107"/>
      <c r="R26" s="119" t="str">
        <f>IFERROR(__xludf.DUMMYFUNCTION("""COMPUTED_VALUE"""),"Grizzly Bears")</f>
        <v>Grizzly Bears</v>
      </c>
      <c r="S26" s="119" t="str">
        <f>IFERROR(__xludf.DUMMYFUNCTION("""COMPUTED_VALUE"""),"Legati")</f>
        <v>Legati</v>
      </c>
      <c r="T26" s="119" t="str">
        <f>IFERROR(__xludf.DUMMYFUNCTION("""COMPUTED_VALUE"""),"Shadow Tails")</f>
        <v>Shadow Tails</v>
      </c>
      <c r="U26" s="119" t="str">
        <f>IFERROR(__xludf.DUMMYFUNCTION("""COMPUTED_VALUE"""),"Lycans")</f>
        <v>Lycans</v>
      </c>
      <c r="V26" s="143">
        <f>IFERROR(__xludf.DUMMYFUNCTION("""COMPUTED_VALUE"""),45964.0)</f>
        <v>45964</v>
      </c>
      <c r="W26" s="73"/>
    </row>
    <row r="27">
      <c r="A27" s="73"/>
      <c r="B27" s="55" t="str">
        <f>IFERROR(__xludf.DUMMYFUNCTION("""COMPUTED_VALUE"""),"Match Day 16")</f>
        <v>Match Day 16</v>
      </c>
      <c r="C27" s="118" t="str">
        <f>IFERROR(__xludf.DUMMYFUNCTION("""COMPUTED_VALUE"""),"Peppermint")</f>
        <v>Peppermint</v>
      </c>
      <c r="D27" s="119" t="str">
        <f>IFERROR(__xludf.DUMMYFUNCTION("""COMPUTED_VALUE"""),"Avalanche")</f>
        <v>Avalanche</v>
      </c>
      <c r="E27" s="119" t="str">
        <f>IFERROR(__xludf.DUMMYFUNCTION("""COMPUTED_VALUE"""),"Gargoyle")</f>
        <v>Gargoyle</v>
      </c>
      <c r="F27" s="119" t="str">
        <f>IFERROR(__xludf.DUMMYFUNCTION("""COMPUTED_VALUE"""),"Gorillas")</f>
        <v>Gorillas</v>
      </c>
      <c r="G27" s="107"/>
      <c r="H27" s="119" t="str">
        <f>IFERROR(__xludf.DUMMYFUNCTION("""COMPUTED_VALUE"""),"Navigators")</f>
        <v>Navigators</v>
      </c>
      <c r="I27" s="119" t="str">
        <f>IFERROR(__xludf.DUMMYFUNCTION("""COMPUTED_VALUE"""),"Street Rats")</f>
        <v>Street Rats</v>
      </c>
      <c r="J27" s="119" t="str">
        <f>IFERROR(__xludf.DUMMYFUNCTION("""COMPUTED_VALUE"""),"Singularity")</f>
        <v>Singularity</v>
      </c>
      <c r="K27" s="119" t="str">
        <f>IFERROR(__xludf.DUMMYFUNCTION("""COMPUTED_VALUE"""),"Sons of Ares")</f>
        <v>Sons of Ares</v>
      </c>
      <c r="L27" s="107"/>
      <c r="M27" s="119" t="str">
        <f>IFERROR(__xludf.DUMMYFUNCTION("""COMPUTED_VALUE"""),"Mosaic Maestros")</f>
        <v>Mosaic Maestros</v>
      </c>
      <c r="N27" s="119" t="str">
        <f>IFERROR(__xludf.DUMMYFUNCTION("""COMPUTED_VALUE"""),"Water")</f>
        <v>Water</v>
      </c>
      <c r="O27" s="119" t="str">
        <f>IFERROR(__xludf.DUMMYFUNCTION("""COMPUTED_VALUE"""),"Kirin")</f>
        <v>Kirin</v>
      </c>
      <c r="P27" s="119" t="str">
        <f>IFERROR(__xludf.DUMMYFUNCTION("""COMPUTED_VALUE"""),"Makos")</f>
        <v>Makos</v>
      </c>
      <c r="Q27" s="107"/>
      <c r="R27" s="119" t="str">
        <f>IFERROR(__xludf.DUMMYFUNCTION("""COMPUTED_VALUE"""),"Shadow Tails")</f>
        <v>Shadow Tails</v>
      </c>
      <c r="S27" s="119" t="str">
        <f>IFERROR(__xludf.DUMMYFUNCTION("""COMPUTED_VALUE"""),"Lycans")</f>
        <v>Lycans</v>
      </c>
      <c r="T27" s="119" t="str">
        <f>IFERROR(__xludf.DUMMYFUNCTION("""COMPUTED_VALUE"""),"Grizzly Bears")</f>
        <v>Grizzly Bears</v>
      </c>
      <c r="U27" s="119" t="str">
        <f>IFERROR(__xludf.DUMMYFUNCTION("""COMPUTED_VALUE"""),"Legati")</f>
        <v>Legati</v>
      </c>
      <c r="V27" s="143">
        <f>IFERROR(__xludf.DUMMYFUNCTION("""COMPUTED_VALUE"""),45966.0)</f>
        <v>45966</v>
      </c>
      <c r="W27" s="73"/>
    </row>
    <row r="28">
      <c r="A28" s="73"/>
      <c r="B28" s="141" t="str">
        <f>IFERROR(__xludf.DUMMYFUNCTION("""COMPUTED_VALUE"""),"Match Day 17")</f>
        <v>Match Day 17</v>
      </c>
      <c r="C28" s="144" t="str">
        <f>IFERROR(__xludf.DUMMYFUNCTION("""COMPUTED_VALUE"""),"Wild-Card (9:45 PM ET) / Quarterfinals (10:30 PM ET)")</f>
        <v>Wild-Card (9:45 PM ET) / Quarterfinals (10:30 PM ET)</v>
      </c>
      <c r="D28" s="27"/>
      <c r="E28" s="27"/>
      <c r="F28" s="27"/>
      <c r="G28" s="27"/>
      <c r="H28" s="27"/>
      <c r="I28" s="27"/>
      <c r="J28" s="27"/>
      <c r="K28" s="90"/>
      <c r="L28" s="145"/>
      <c r="M28" s="144" t="str">
        <f>IFERROR(__xludf.DUMMYFUNCTION("""COMPUTED_VALUE"""),"Wild-Card (9:45 PM ET) / Quarterfinals (10:30 PM ET)")</f>
        <v>Wild-Card (9:45 PM ET) / Quarterfinals (10:30 PM ET)</v>
      </c>
      <c r="N28" s="27"/>
      <c r="O28" s="27"/>
      <c r="P28" s="27"/>
      <c r="Q28" s="27"/>
      <c r="R28" s="27"/>
      <c r="S28" s="27"/>
      <c r="T28" s="27"/>
      <c r="U28" s="90"/>
      <c r="V28" s="143">
        <f>IFERROR(__xludf.DUMMYFUNCTION("""COMPUTED_VALUE"""),45971.0)</f>
        <v>45971</v>
      </c>
      <c r="W28" s="73"/>
    </row>
    <row r="29">
      <c r="A29" s="73"/>
      <c r="B29" s="141" t="str">
        <f>IFERROR(__xludf.DUMMYFUNCTION("""COMPUTED_VALUE"""),"Match Day 18")</f>
        <v>Match Day 18</v>
      </c>
      <c r="C29" s="144" t="str">
        <f>IFERROR(__xludf.DUMMYFUNCTION("""COMPUTED_VALUE"""),"Semifinals (10:00 PM ET)")</f>
        <v>Semifinals (10:00 PM ET)</v>
      </c>
      <c r="D29" s="27"/>
      <c r="E29" s="27"/>
      <c r="F29" s="27"/>
      <c r="G29" s="27"/>
      <c r="H29" s="27"/>
      <c r="I29" s="27"/>
      <c r="J29" s="27"/>
      <c r="K29" s="90"/>
      <c r="L29" s="145"/>
      <c r="M29" s="144" t="str">
        <f>IFERROR(__xludf.DUMMYFUNCTION("""COMPUTED_VALUE"""),"Semifinals (10:00 PM ET)")</f>
        <v>Semifinals (10:00 PM ET)</v>
      </c>
      <c r="N29" s="27"/>
      <c r="O29" s="27"/>
      <c r="P29" s="27"/>
      <c r="Q29" s="27"/>
      <c r="R29" s="27"/>
      <c r="S29" s="27"/>
      <c r="T29" s="27"/>
      <c r="U29" s="90"/>
      <c r="V29" s="143">
        <f>IFERROR(__xludf.DUMMYFUNCTION("""COMPUTED_VALUE"""),45973.0)</f>
        <v>45973</v>
      </c>
      <c r="W29" s="73"/>
    </row>
    <row r="30">
      <c r="A30" s="73"/>
      <c r="B30" s="141" t="str">
        <f>IFERROR(__xludf.DUMMYFUNCTION("""COMPUTED_VALUE"""),"Match Day 19")</f>
        <v>Match Day 19</v>
      </c>
      <c r="C30" s="144" t="str">
        <f>IFERROR(__xludf.DUMMYFUNCTION("""COMPUTED_VALUE"""),"Finals (10:30 PM ET)")</f>
        <v>Finals (10:30 PM ET)</v>
      </c>
      <c r="D30" s="27"/>
      <c r="E30" s="27"/>
      <c r="F30" s="27"/>
      <c r="G30" s="27"/>
      <c r="H30" s="27"/>
      <c r="I30" s="27"/>
      <c r="J30" s="27"/>
      <c r="K30" s="90"/>
      <c r="L30" s="145"/>
      <c r="M30" s="144" t="str">
        <f>IFERROR(__xludf.DUMMYFUNCTION("""COMPUTED_VALUE"""),"Finals (10:30 PM ET)")</f>
        <v>Finals (10:30 PM ET)</v>
      </c>
      <c r="N30" s="27"/>
      <c r="O30" s="27"/>
      <c r="P30" s="27"/>
      <c r="Q30" s="27"/>
      <c r="R30" s="27"/>
      <c r="S30" s="27"/>
      <c r="T30" s="27"/>
      <c r="U30" s="90"/>
      <c r="V30" s="143">
        <f>IFERROR(__xludf.DUMMYFUNCTION("""COMPUTED_VALUE"""),45978.0)</f>
        <v>45978</v>
      </c>
      <c r="W30" s="73"/>
    </row>
    <row r="31">
      <c r="A31" s="73"/>
      <c r="B31" s="73"/>
      <c r="C31" s="73"/>
      <c r="D31" s="73"/>
      <c r="E31" s="73"/>
      <c r="F31" s="73"/>
      <c r="G31" s="73"/>
      <c r="H31" s="73"/>
      <c r="I31" s="130"/>
      <c r="J31" s="130"/>
      <c r="K31" s="130"/>
      <c r="L31" s="130"/>
      <c r="M31" s="130"/>
      <c r="N31" s="130"/>
      <c r="O31" s="130"/>
      <c r="P31" s="73"/>
      <c r="Q31" s="73"/>
      <c r="R31" s="73"/>
      <c r="S31" s="73"/>
      <c r="T31" s="84"/>
      <c r="U31" s="84"/>
      <c r="V31" s="84"/>
      <c r="W31" s="73"/>
    </row>
    <row r="32">
      <c r="A32" s="73"/>
      <c r="B32" s="132" t="str">
        <f>IFERROR(__xludf.DUMMYFUNCTION("""COMPUTED_VALUE"""),"Preseason")</f>
        <v>Preseason</v>
      </c>
      <c r="C32" s="73"/>
      <c r="D32" s="73"/>
      <c r="E32" s="73"/>
      <c r="F32" s="73"/>
      <c r="G32" s="73"/>
      <c r="H32" s="73"/>
      <c r="I32" s="130"/>
      <c r="J32" s="130"/>
      <c r="K32" s="130"/>
      <c r="L32" s="130"/>
      <c r="M32" s="130"/>
      <c r="N32" s="130"/>
      <c r="O32" s="130"/>
      <c r="P32" s="73"/>
      <c r="Q32" s="73"/>
      <c r="R32" s="73"/>
      <c r="S32" s="73"/>
      <c r="T32" s="84"/>
      <c r="U32" s="84"/>
      <c r="V32" s="132" t="str">
        <f>IFERROR(__xludf.DUMMYFUNCTION("""COMPUTED_VALUE"""),"Preseason")</f>
        <v>Preseason</v>
      </c>
      <c r="W32" s="73"/>
    </row>
    <row r="33">
      <c r="A33" s="73"/>
      <c r="B33" s="96" t="str">
        <f>IFERROR(__xludf.DUMMYFUNCTION("""COMPUTED_VALUE"""),"In Division")</f>
        <v>In Division</v>
      </c>
      <c r="C33" s="84"/>
      <c r="D33" s="73"/>
      <c r="E33" s="73"/>
      <c r="F33" s="73"/>
      <c r="G33" s="73"/>
      <c r="H33" s="73"/>
      <c r="I33" s="146" t="str">
        <f>IFERROR(__xludf.DUMMYFUNCTION("""COMPUTED_VALUE"""),"Lunar Conference")</f>
        <v>Lunar Conference</v>
      </c>
      <c r="P33" s="73"/>
      <c r="Q33" s="73"/>
      <c r="R33" s="73"/>
      <c r="S33" s="84"/>
      <c r="T33" s="73"/>
      <c r="U33" s="73"/>
      <c r="V33" s="96" t="str">
        <f>IFERROR(__xludf.DUMMYFUNCTION("""COMPUTED_VALUE"""),"In Division")</f>
        <v>In Division</v>
      </c>
      <c r="W33" s="73"/>
    </row>
    <row r="34" ht="15.75" customHeight="1">
      <c r="A34" s="73"/>
      <c r="B34" s="78" t="str">
        <f>IFERROR(__xludf.DUMMYFUNCTION("""COMPUTED_VALUE"""),"In Conference")</f>
        <v>In Conference</v>
      </c>
      <c r="C34" s="130"/>
      <c r="D34" s="130"/>
      <c r="E34" s="130"/>
      <c r="F34" s="130"/>
      <c r="G34" s="130"/>
      <c r="H34" s="130"/>
      <c r="P34" s="130"/>
      <c r="Q34" s="130"/>
      <c r="R34" s="130"/>
      <c r="S34" s="130"/>
      <c r="T34" s="130"/>
      <c r="U34" s="130"/>
      <c r="V34" s="78" t="str">
        <f>IFERROR(__xludf.DUMMYFUNCTION("""COMPUTED_VALUE"""),"In Conference")</f>
        <v>In Conference</v>
      </c>
      <c r="W34" s="73"/>
    </row>
    <row r="35" ht="15.75" customHeight="1">
      <c r="A35" s="73"/>
      <c r="B35" s="97" t="str">
        <f>IFERROR(__xludf.DUMMYFUNCTION("""COMPUTED_VALUE"""),"Out of Conference")</f>
        <v>Out of Conference</v>
      </c>
      <c r="C35" s="135" t="str">
        <f>IFERROR(__xludf.DUMMYFUNCTION("""COMPUTED_VALUE"""),"Cloud Division")</f>
        <v>Cloud Division</v>
      </c>
      <c r="G35" s="136"/>
      <c r="H35" s="137" t="str">
        <f>IFERROR(__xludf.DUMMYFUNCTION("""COMPUTED_VALUE"""),"Ember Division")</f>
        <v>Ember Division</v>
      </c>
      <c r="L35" s="134"/>
      <c r="M35" s="138" t="str">
        <f>IFERROR(__xludf.DUMMYFUNCTION("""COMPUTED_VALUE"""),"Mountain Division")</f>
        <v>Mountain Division</v>
      </c>
      <c r="Q35" s="136"/>
      <c r="R35" s="139" t="str">
        <f>IFERROR(__xludf.DUMMYFUNCTION("""COMPUTED_VALUE"""),"Ocean Division")</f>
        <v>Ocean Division</v>
      </c>
      <c r="V35" s="97" t="str">
        <f>IFERROR(__xludf.DUMMYFUNCTION("""COMPUTED_VALUE"""),"Out of Conference")</f>
        <v>Out of Conference</v>
      </c>
      <c r="W35" s="73"/>
    </row>
    <row r="36">
      <c r="A36" s="73"/>
      <c r="B36" s="80" t="str">
        <f>IFERROR(__xludf.DUMMYFUNCTION("""COMPUTED_VALUE"""),"Playoffs")</f>
        <v>Playoffs</v>
      </c>
      <c r="C36" s="103" t="str">
        <f>IFERROR(__xludf.DUMMYFUNCTION("""COMPUTED_VALUE"""),"White Collars")</f>
        <v>White Collars</v>
      </c>
      <c r="D36" s="103" t="str">
        <f>IFERROR(__xludf.DUMMYFUNCTION("""COMPUTED_VALUE"""),"Gouda Gangsters")</f>
        <v>Gouda Gangsters</v>
      </c>
      <c r="E36" s="103" t="str">
        <f>IFERROR(__xludf.DUMMYFUNCTION("""COMPUTED_VALUE"""),"Merciless Mob")</f>
        <v>Merciless Mob</v>
      </c>
      <c r="F36" s="103" t="str">
        <f>IFERROR(__xludf.DUMMYFUNCTION("""COMPUTED_VALUE"""),"Nighthawks")</f>
        <v>Nighthawks</v>
      </c>
      <c r="G36" s="81"/>
      <c r="H36" s="103" t="str">
        <f>IFERROR(__xludf.DUMMYFUNCTION("""COMPUTED_VALUE"""),"Blacksmiths")</f>
        <v>Blacksmiths</v>
      </c>
      <c r="I36" s="103" t="str">
        <f>IFERROR(__xludf.DUMMYFUNCTION("""COMPUTED_VALUE"""),"Folks")</f>
        <v>Folks</v>
      </c>
      <c r="J36" s="103" t="str">
        <f>IFERROR(__xludf.DUMMYFUNCTION("""COMPUTED_VALUE"""),"Supernova")</f>
        <v>Supernova</v>
      </c>
      <c r="K36" s="103" t="str">
        <f>IFERROR(__xludf.DUMMYFUNCTION("""COMPUTED_VALUE"""),"Berserkers")</f>
        <v>Berserkers</v>
      </c>
      <c r="L36" s="103"/>
      <c r="M36" s="103" t="str">
        <f>IFERROR(__xludf.DUMMYFUNCTION("""COMPUTED_VALUE"""),"Cannoli")</f>
        <v>Cannoli</v>
      </c>
      <c r="N36" s="103" t="str">
        <f>IFERROR(__xludf.DUMMYFUNCTION("""COMPUTED_VALUE"""),"Banshees")</f>
        <v>Banshees</v>
      </c>
      <c r="O36" s="103" t="str">
        <f>IFERROR(__xludf.DUMMYFUNCTION("""COMPUTED_VALUE"""),"Dogfight")</f>
        <v>Dogfight</v>
      </c>
      <c r="P36" s="103" t="str">
        <f>IFERROR(__xludf.DUMMYFUNCTION("""COMPUTED_VALUE"""),"Dread")</f>
        <v>Dread</v>
      </c>
      <c r="Q36" s="103"/>
      <c r="R36" s="103" t="str">
        <f>IFERROR(__xludf.DUMMYFUNCTION("""COMPUTED_VALUE"""),"Giant Squids")</f>
        <v>Giant Squids</v>
      </c>
      <c r="S36" s="103" t="str">
        <f>IFERROR(__xludf.DUMMYFUNCTION("""COMPUTED_VALUE"""),"Giraffes")</f>
        <v>Giraffes</v>
      </c>
      <c r="T36" s="103" t="str">
        <f>IFERROR(__xludf.DUMMYFUNCTION("""COMPUTED_VALUE"""),"Fer-de-Lance")</f>
        <v>Fer-de-Lance</v>
      </c>
      <c r="U36" s="81" t="str">
        <f>IFERROR(__xludf.DUMMYFUNCTION("""COMPUTED_VALUE"""),"Mages")</f>
        <v>Mages</v>
      </c>
      <c r="V36" s="80" t="str">
        <f>IFERROR(__xludf.DUMMYFUNCTION("""COMPUTED_VALUE"""),"Playoffs")</f>
        <v>Playoffs</v>
      </c>
      <c r="W36" s="73"/>
    </row>
    <row r="37">
      <c r="A37" s="73"/>
      <c r="B37" s="141" t="str">
        <f>IFERROR(__xludf.DUMMYFUNCTION("""COMPUTED_VALUE"""),"Preseason 1")</f>
        <v>Preseason 1</v>
      </c>
      <c r="C37" s="82" t="str">
        <f>IFERROR(__xludf.DUMMYFUNCTION("""COMPUTED_VALUE"""),"Gouda Gangsters")</f>
        <v>Gouda Gangsters</v>
      </c>
      <c r="D37" s="83" t="str">
        <f>IFERROR(__xludf.DUMMYFUNCTION("""COMPUTED_VALUE"""),"White Collars")</f>
        <v>White Collars</v>
      </c>
      <c r="E37" s="83" t="str">
        <f>IFERROR(__xludf.DUMMYFUNCTION("""COMPUTED_VALUE"""),"Nighthawks")</f>
        <v>Nighthawks</v>
      </c>
      <c r="F37" s="83" t="str">
        <f>IFERROR(__xludf.DUMMYFUNCTION("""COMPUTED_VALUE"""),"Merciless Mob")</f>
        <v>Merciless Mob</v>
      </c>
      <c r="G37" s="107"/>
      <c r="H37" s="83" t="str">
        <f>IFERROR(__xludf.DUMMYFUNCTION("""COMPUTED_VALUE"""),"Folks")</f>
        <v>Folks</v>
      </c>
      <c r="I37" s="83" t="str">
        <f>IFERROR(__xludf.DUMMYFUNCTION("""COMPUTED_VALUE"""),"Blacksmiths")</f>
        <v>Blacksmiths</v>
      </c>
      <c r="J37" s="83" t="str">
        <f>IFERROR(__xludf.DUMMYFUNCTION("""COMPUTED_VALUE"""),"Berserkers")</f>
        <v>Berserkers</v>
      </c>
      <c r="K37" s="83" t="str">
        <f>IFERROR(__xludf.DUMMYFUNCTION("""COMPUTED_VALUE"""),"Supernova")</f>
        <v>Supernova</v>
      </c>
      <c r="L37" s="107"/>
      <c r="M37" s="83" t="str">
        <f>IFERROR(__xludf.DUMMYFUNCTION("""COMPUTED_VALUE"""),"Banshees")</f>
        <v>Banshees</v>
      </c>
      <c r="N37" s="83" t="str">
        <f>IFERROR(__xludf.DUMMYFUNCTION("""COMPUTED_VALUE"""),"Cannoli")</f>
        <v>Cannoli</v>
      </c>
      <c r="O37" s="83" t="str">
        <f>IFERROR(__xludf.DUMMYFUNCTION("""COMPUTED_VALUE"""),"Dread")</f>
        <v>Dread</v>
      </c>
      <c r="P37" s="83" t="str">
        <f>IFERROR(__xludf.DUMMYFUNCTION("""COMPUTED_VALUE"""),"Dogfight")</f>
        <v>Dogfight</v>
      </c>
      <c r="Q37" s="107"/>
      <c r="R37" s="83" t="str">
        <f>IFERROR(__xludf.DUMMYFUNCTION("""COMPUTED_VALUE"""),"Giraffes")</f>
        <v>Giraffes</v>
      </c>
      <c r="S37" s="83" t="str">
        <f>IFERROR(__xludf.DUMMYFUNCTION("""COMPUTED_VALUE"""),"Giant Squids")</f>
        <v>Giant Squids</v>
      </c>
      <c r="T37" s="83" t="str">
        <f>IFERROR(__xludf.DUMMYFUNCTION("""COMPUTED_VALUE"""),"Mages")</f>
        <v>Mages</v>
      </c>
      <c r="U37" s="83" t="str">
        <f>IFERROR(__xludf.DUMMYFUNCTION("""COMPUTED_VALUE"""),"Fer-de-Lance")</f>
        <v>Fer-de-Lance</v>
      </c>
      <c r="V37" s="143">
        <f>IFERROR(__xludf.DUMMYFUNCTION("""COMPUTED_VALUE"""),45896.0)</f>
        <v>45896</v>
      </c>
      <c r="W37" s="73"/>
    </row>
    <row r="38">
      <c r="A38" s="73"/>
      <c r="B38" s="141" t="str">
        <f>IFERROR(__xludf.DUMMYFUNCTION("""COMPUTED_VALUE"""),"Preseason 2")</f>
        <v>Preseason 2</v>
      </c>
      <c r="C38" s="82" t="str">
        <f>IFERROR(__xludf.DUMMYFUNCTION("""COMPUTED_VALUE"""),"Fer-de-Lance")</f>
        <v>Fer-de-Lance</v>
      </c>
      <c r="D38" s="83" t="str">
        <f>IFERROR(__xludf.DUMMYFUNCTION("""COMPUTED_VALUE"""),"Mages")</f>
        <v>Mages</v>
      </c>
      <c r="E38" s="83" t="str">
        <f>IFERROR(__xludf.DUMMYFUNCTION("""COMPUTED_VALUE"""),"Giant Squids")</f>
        <v>Giant Squids</v>
      </c>
      <c r="F38" s="83" t="str">
        <f>IFERROR(__xludf.DUMMYFUNCTION("""COMPUTED_VALUE"""),"Giraffes")</f>
        <v>Giraffes</v>
      </c>
      <c r="G38" s="133"/>
      <c r="H38" s="82" t="str">
        <f>IFERROR(__xludf.DUMMYFUNCTION("""COMPUTED_VALUE"""),"Dogfight")</f>
        <v>Dogfight</v>
      </c>
      <c r="I38" s="83" t="str">
        <f>IFERROR(__xludf.DUMMYFUNCTION("""COMPUTED_VALUE"""),"Dread")</f>
        <v>Dread</v>
      </c>
      <c r="J38" s="83" t="str">
        <f>IFERROR(__xludf.DUMMYFUNCTION("""COMPUTED_VALUE"""),"Cannoli")</f>
        <v>Cannoli</v>
      </c>
      <c r="K38" s="83" t="str">
        <f>IFERROR(__xludf.DUMMYFUNCTION("""COMPUTED_VALUE"""),"Banshees")</f>
        <v>Banshees</v>
      </c>
      <c r="L38" s="133"/>
      <c r="M38" s="82" t="str">
        <f>IFERROR(__xludf.DUMMYFUNCTION("""COMPUTED_VALUE"""),"Supernova")</f>
        <v>Supernova</v>
      </c>
      <c r="N38" s="83" t="str">
        <f>IFERROR(__xludf.DUMMYFUNCTION("""COMPUTED_VALUE"""),"Berserkers")</f>
        <v>Berserkers</v>
      </c>
      <c r="O38" s="83" t="str">
        <f>IFERROR(__xludf.DUMMYFUNCTION("""COMPUTED_VALUE"""),"Blacksmiths")</f>
        <v>Blacksmiths</v>
      </c>
      <c r="P38" s="83" t="str">
        <f>IFERROR(__xludf.DUMMYFUNCTION("""COMPUTED_VALUE"""),"Folks")</f>
        <v>Folks</v>
      </c>
      <c r="Q38" s="133"/>
      <c r="R38" s="82" t="str">
        <f>IFERROR(__xludf.DUMMYFUNCTION("""COMPUTED_VALUE"""),"Merciless Mob")</f>
        <v>Merciless Mob</v>
      </c>
      <c r="S38" s="83" t="str">
        <f>IFERROR(__xludf.DUMMYFUNCTION("""COMPUTED_VALUE"""),"Nighthawks")</f>
        <v>Nighthawks</v>
      </c>
      <c r="T38" s="83" t="str">
        <f>IFERROR(__xludf.DUMMYFUNCTION("""COMPUTED_VALUE"""),"White Collars")</f>
        <v>White Collars</v>
      </c>
      <c r="U38" s="83" t="str">
        <f>IFERROR(__xludf.DUMMYFUNCTION("""COMPUTED_VALUE"""),"Gouda Gangsters")</f>
        <v>Gouda Gangsters</v>
      </c>
      <c r="V38" s="143">
        <f>IFERROR(__xludf.DUMMYFUNCTION("""COMPUTED_VALUE"""),45903.0)</f>
        <v>45903</v>
      </c>
      <c r="W38" s="73"/>
    </row>
    <row r="39">
      <c r="A39" s="73"/>
      <c r="B39" s="141" t="str">
        <f>IFERROR(__xludf.DUMMYFUNCTION("""COMPUTED_VALUE"""),"Preseason 3")</f>
        <v>Preseason 3</v>
      </c>
      <c r="C39" s="82" t="str">
        <f>IFERROR(__xludf.DUMMYFUNCTION("""COMPUTED_VALUE"""),"Singularity")</f>
        <v>Singularity</v>
      </c>
      <c r="D39" s="83" t="str">
        <f>IFERROR(__xludf.DUMMYFUNCTION("""COMPUTED_VALUE"""),"Sons of Ares")</f>
        <v>Sons of Ares</v>
      </c>
      <c r="E39" s="83" t="str">
        <f>IFERROR(__xludf.DUMMYFUNCTION("""COMPUTED_VALUE"""),"Street Rats")</f>
        <v>Street Rats</v>
      </c>
      <c r="F39" s="83" t="str">
        <f>IFERROR(__xludf.DUMMYFUNCTION("""COMPUTED_VALUE"""),"Navigators")</f>
        <v>Navigators</v>
      </c>
      <c r="G39" s="133"/>
      <c r="H39" s="82" t="str">
        <f>IFERROR(__xludf.DUMMYFUNCTION("""COMPUTED_VALUE"""),"Gargoyle")</f>
        <v>Gargoyle</v>
      </c>
      <c r="I39" s="83" t="str">
        <f>IFERROR(__xludf.DUMMYFUNCTION("""COMPUTED_VALUE"""),"Gorillas")</f>
        <v>Gorillas</v>
      </c>
      <c r="J39" s="83" t="str">
        <f>IFERROR(__xludf.DUMMYFUNCTION("""COMPUTED_VALUE"""),"Avalanche")</f>
        <v>Avalanche</v>
      </c>
      <c r="K39" s="83" t="str">
        <f>IFERROR(__xludf.DUMMYFUNCTION("""COMPUTED_VALUE"""),"Peppermint")</f>
        <v>Peppermint</v>
      </c>
      <c r="L39" s="133"/>
      <c r="M39" s="82" t="str">
        <f>IFERROR(__xludf.DUMMYFUNCTION("""COMPUTED_VALUE"""),"Grizzly Bears")</f>
        <v>Grizzly Bears</v>
      </c>
      <c r="N39" s="83" t="str">
        <f>IFERROR(__xludf.DUMMYFUNCTION("""COMPUTED_VALUE"""),"Legati")</f>
        <v>Legati</v>
      </c>
      <c r="O39" s="83" t="str">
        <f>IFERROR(__xludf.DUMMYFUNCTION("""COMPUTED_VALUE"""),"Lycans")</f>
        <v>Lycans</v>
      </c>
      <c r="P39" s="83" t="str">
        <f>IFERROR(__xludf.DUMMYFUNCTION("""COMPUTED_VALUE"""),"Shadow Tails")</f>
        <v>Shadow Tails</v>
      </c>
      <c r="Q39" s="133"/>
      <c r="R39" s="82" t="str">
        <f>IFERROR(__xludf.DUMMYFUNCTION("""COMPUTED_VALUE"""),"Kirin")</f>
        <v>Kirin</v>
      </c>
      <c r="S39" s="83" t="str">
        <f>IFERROR(__xludf.DUMMYFUNCTION("""COMPUTED_VALUE"""),"Makos")</f>
        <v>Makos</v>
      </c>
      <c r="T39" s="83" t="str">
        <f>IFERROR(__xludf.DUMMYFUNCTION("""COMPUTED_VALUE"""),"Water")</f>
        <v>Water</v>
      </c>
      <c r="U39" s="83" t="str">
        <f>IFERROR(__xludf.DUMMYFUNCTION("""COMPUTED_VALUE"""),"Mosaic Maestros")</f>
        <v>Mosaic Maestros</v>
      </c>
      <c r="V39" s="143">
        <f>IFERROR(__xludf.DUMMYFUNCTION("""COMPUTED_VALUE"""),45908.0)</f>
        <v>45908</v>
      </c>
      <c r="W39" s="73"/>
    </row>
    <row r="40">
      <c r="A40" s="73"/>
      <c r="B40" s="55" t="str">
        <f>IFERROR(__xludf.DUMMYFUNCTION("""COMPUTED_VALUE"""),"Match Day 1")</f>
        <v>Match Day 1</v>
      </c>
      <c r="C40" s="85" t="str">
        <f>IFERROR(__xludf.DUMMYFUNCTION("""COMPUTED_VALUE"""),"Folks")</f>
        <v>Folks</v>
      </c>
      <c r="D40" s="86" t="str">
        <f>IFERROR(__xludf.DUMMYFUNCTION("""COMPUTED_VALUE"""),"Blacksmiths")</f>
        <v>Blacksmiths</v>
      </c>
      <c r="E40" s="86" t="str">
        <f>IFERROR(__xludf.DUMMYFUNCTION("""COMPUTED_VALUE"""),"Berserkers")</f>
        <v>Berserkers</v>
      </c>
      <c r="F40" s="86" t="str">
        <f>IFERROR(__xludf.DUMMYFUNCTION("""COMPUTED_VALUE"""),"Supernova")</f>
        <v>Supernova</v>
      </c>
      <c r="G40" s="114"/>
      <c r="H40" s="86" t="str">
        <f>IFERROR(__xludf.DUMMYFUNCTION("""COMPUTED_VALUE"""),"Gouda Gangsters")</f>
        <v>Gouda Gangsters</v>
      </c>
      <c r="I40" s="86" t="str">
        <f>IFERROR(__xludf.DUMMYFUNCTION("""COMPUTED_VALUE"""),"White Collars")</f>
        <v>White Collars</v>
      </c>
      <c r="J40" s="86" t="str">
        <f>IFERROR(__xludf.DUMMYFUNCTION("""COMPUTED_VALUE"""),"Nighthawks")</f>
        <v>Nighthawks</v>
      </c>
      <c r="K40" s="86" t="str">
        <f>IFERROR(__xludf.DUMMYFUNCTION("""COMPUTED_VALUE"""),"Merciless Mob")</f>
        <v>Merciless Mob</v>
      </c>
      <c r="L40" s="114"/>
      <c r="M40" s="86" t="str">
        <f>IFERROR(__xludf.DUMMYFUNCTION("""COMPUTED_VALUE"""),"Giraffes")</f>
        <v>Giraffes</v>
      </c>
      <c r="N40" s="86" t="str">
        <f>IFERROR(__xludf.DUMMYFUNCTION("""COMPUTED_VALUE"""),"Giant Squids")</f>
        <v>Giant Squids</v>
      </c>
      <c r="O40" s="86" t="str">
        <f>IFERROR(__xludf.DUMMYFUNCTION("""COMPUTED_VALUE"""),"Mages")</f>
        <v>Mages</v>
      </c>
      <c r="P40" s="86" t="str">
        <f>IFERROR(__xludf.DUMMYFUNCTION("""COMPUTED_VALUE"""),"Fer-de-Lance")</f>
        <v>Fer-de-Lance</v>
      </c>
      <c r="Q40" s="114"/>
      <c r="R40" s="86" t="str">
        <f>IFERROR(__xludf.DUMMYFUNCTION("""COMPUTED_VALUE"""),"Banshees")</f>
        <v>Banshees</v>
      </c>
      <c r="S40" s="86" t="str">
        <f>IFERROR(__xludf.DUMMYFUNCTION("""COMPUTED_VALUE"""),"Cannoli")</f>
        <v>Cannoli</v>
      </c>
      <c r="T40" s="86" t="str">
        <f>IFERROR(__xludf.DUMMYFUNCTION("""COMPUTED_VALUE"""),"Dread")</f>
        <v>Dread</v>
      </c>
      <c r="U40" s="86" t="str">
        <f>IFERROR(__xludf.DUMMYFUNCTION("""COMPUTED_VALUE"""),"Dogfight")</f>
        <v>Dogfight</v>
      </c>
      <c r="V40" s="143">
        <f>IFERROR(__xludf.DUMMYFUNCTION("""COMPUTED_VALUE"""),45910.0)</f>
        <v>45910</v>
      </c>
      <c r="W40" s="73"/>
    </row>
    <row r="41">
      <c r="A41" s="73"/>
      <c r="B41" s="55" t="str">
        <f>IFERROR(__xludf.DUMMYFUNCTION("""COMPUTED_VALUE"""),"Match Day 2")</f>
        <v>Match Day 2</v>
      </c>
      <c r="C41" s="87" t="str">
        <f>IFERROR(__xludf.DUMMYFUNCTION("""COMPUTED_VALUE"""),"Giant Squids")</f>
        <v>Giant Squids</v>
      </c>
      <c r="D41" s="88" t="str">
        <f>IFERROR(__xludf.DUMMYFUNCTION("""COMPUTED_VALUE"""),"Giraffes")</f>
        <v>Giraffes</v>
      </c>
      <c r="E41" s="88" t="str">
        <f>IFERROR(__xludf.DUMMYFUNCTION("""COMPUTED_VALUE"""),"Fer-de-Lance")</f>
        <v>Fer-de-Lance</v>
      </c>
      <c r="F41" s="88" t="str">
        <f>IFERROR(__xludf.DUMMYFUNCTION("""COMPUTED_VALUE"""),"Mages")</f>
        <v>Mages</v>
      </c>
      <c r="G41" s="107"/>
      <c r="H41" s="88" t="str">
        <f>IFERROR(__xludf.DUMMYFUNCTION("""COMPUTED_VALUE"""),"Cannoli")</f>
        <v>Cannoli</v>
      </c>
      <c r="I41" s="88" t="str">
        <f>IFERROR(__xludf.DUMMYFUNCTION("""COMPUTED_VALUE"""),"Banshees")</f>
        <v>Banshees</v>
      </c>
      <c r="J41" s="88" t="str">
        <f>IFERROR(__xludf.DUMMYFUNCTION("""COMPUTED_VALUE"""),"Dogfight")</f>
        <v>Dogfight</v>
      </c>
      <c r="K41" s="88" t="str">
        <f>IFERROR(__xludf.DUMMYFUNCTION("""COMPUTED_VALUE"""),"Dread")</f>
        <v>Dread</v>
      </c>
      <c r="L41" s="107"/>
      <c r="M41" s="88" t="str">
        <f>IFERROR(__xludf.DUMMYFUNCTION("""COMPUTED_VALUE"""),"Blacksmiths")</f>
        <v>Blacksmiths</v>
      </c>
      <c r="N41" s="88" t="str">
        <f>IFERROR(__xludf.DUMMYFUNCTION("""COMPUTED_VALUE"""),"Folks")</f>
        <v>Folks</v>
      </c>
      <c r="O41" s="88" t="str">
        <f>IFERROR(__xludf.DUMMYFUNCTION("""COMPUTED_VALUE"""),"Supernova")</f>
        <v>Supernova</v>
      </c>
      <c r="P41" s="88" t="str">
        <f>IFERROR(__xludf.DUMMYFUNCTION("""COMPUTED_VALUE"""),"Berserkers")</f>
        <v>Berserkers</v>
      </c>
      <c r="Q41" s="107"/>
      <c r="R41" s="88" t="str">
        <f>IFERROR(__xludf.DUMMYFUNCTION("""COMPUTED_VALUE"""),"White Collars")</f>
        <v>White Collars</v>
      </c>
      <c r="S41" s="88" t="str">
        <f>IFERROR(__xludf.DUMMYFUNCTION("""COMPUTED_VALUE"""),"Gouda Gangsters")</f>
        <v>Gouda Gangsters</v>
      </c>
      <c r="T41" s="88" t="str">
        <f>IFERROR(__xludf.DUMMYFUNCTION("""COMPUTED_VALUE"""),"Merciless Mob")</f>
        <v>Merciless Mob</v>
      </c>
      <c r="U41" s="88" t="str">
        <f>IFERROR(__xludf.DUMMYFUNCTION("""COMPUTED_VALUE"""),"Nighthawks")</f>
        <v>Nighthawks</v>
      </c>
      <c r="V41" s="143">
        <f>IFERROR(__xludf.DUMMYFUNCTION("""COMPUTED_VALUE"""),45915.0)</f>
        <v>45915</v>
      </c>
      <c r="W41" s="73"/>
    </row>
    <row r="42">
      <c r="A42" s="73"/>
      <c r="B42" s="55" t="str">
        <f>IFERROR(__xludf.DUMMYFUNCTION("""COMPUTED_VALUE"""),"Match Day 3")</f>
        <v>Match Day 3</v>
      </c>
      <c r="C42" s="118" t="str">
        <f>IFERROR(__xludf.DUMMYFUNCTION("""COMPUTED_VALUE"""),"Merciless Mob")</f>
        <v>Merciless Mob</v>
      </c>
      <c r="D42" s="119" t="str">
        <f>IFERROR(__xludf.DUMMYFUNCTION("""COMPUTED_VALUE"""),"Nighthawks")</f>
        <v>Nighthawks</v>
      </c>
      <c r="E42" s="119" t="str">
        <f>IFERROR(__xludf.DUMMYFUNCTION("""COMPUTED_VALUE"""),"White Collars")</f>
        <v>White Collars</v>
      </c>
      <c r="F42" s="119" t="str">
        <f>IFERROR(__xludf.DUMMYFUNCTION("""COMPUTED_VALUE"""),"Gouda Gangsters")</f>
        <v>Gouda Gangsters</v>
      </c>
      <c r="G42" s="107"/>
      <c r="H42" s="119" t="str">
        <f>IFERROR(__xludf.DUMMYFUNCTION("""COMPUTED_VALUE"""),"Supernova")</f>
        <v>Supernova</v>
      </c>
      <c r="I42" s="119" t="str">
        <f>IFERROR(__xludf.DUMMYFUNCTION("""COMPUTED_VALUE"""),"Berserkers")</f>
        <v>Berserkers</v>
      </c>
      <c r="J42" s="119" t="str">
        <f>IFERROR(__xludf.DUMMYFUNCTION("""COMPUTED_VALUE"""),"Blacksmiths")</f>
        <v>Blacksmiths</v>
      </c>
      <c r="K42" s="119" t="str">
        <f>IFERROR(__xludf.DUMMYFUNCTION("""COMPUTED_VALUE"""),"Folks")</f>
        <v>Folks</v>
      </c>
      <c r="L42" s="107"/>
      <c r="M42" s="119" t="str">
        <f>IFERROR(__xludf.DUMMYFUNCTION("""COMPUTED_VALUE"""),"Dogfight")</f>
        <v>Dogfight</v>
      </c>
      <c r="N42" s="119" t="str">
        <f>IFERROR(__xludf.DUMMYFUNCTION("""COMPUTED_VALUE"""),"Dread")</f>
        <v>Dread</v>
      </c>
      <c r="O42" s="119" t="str">
        <f>IFERROR(__xludf.DUMMYFUNCTION("""COMPUTED_VALUE"""),"Cannoli")</f>
        <v>Cannoli</v>
      </c>
      <c r="P42" s="119" t="str">
        <f>IFERROR(__xludf.DUMMYFUNCTION("""COMPUTED_VALUE"""),"Banshees")</f>
        <v>Banshees</v>
      </c>
      <c r="Q42" s="107"/>
      <c r="R42" s="119" t="str">
        <f>IFERROR(__xludf.DUMMYFUNCTION("""COMPUTED_VALUE"""),"Fer-de-Lance")</f>
        <v>Fer-de-Lance</v>
      </c>
      <c r="S42" s="119" t="str">
        <f>IFERROR(__xludf.DUMMYFUNCTION("""COMPUTED_VALUE"""),"Mages")</f>
        <v>Mages</v>
      </c>
      <c r="T42" s="119" t="str">
        <f>IFERROR(__xludf.DUMMYFUNCTION("""COMPUTED_VALUE"""),"Giant Squids")</f>
        <v>Giant Squids</v>
      </c>
      <c r="U42" s="119" t="str">
        <f>IFERROR(__xludf.DUMMYFUNCTION("""COMPUTED_VALUE"""),"Giraffes")</f>
        <v>Giraffes</v>
      </c>
      <c r="V42" s="143">
        <f>IFERROR(__xludf.DUMMYFUNCTION("""COMPUTED_VALUE"""),45917.0)</f>
        <v>45917</v>
      </c>
      <c r="W42" s="73"/>
    </row>
    <row r="43">
      <c r="A43" s="73"/>
      <c r="B43" s="55" t="str">
        <f>IFERROR(__xludf.DUMMYFUNCTION("""COMPUTED_VALUE"""),"Match Day 4")</f>
        <v>Match Day 4</v>
      </c>
      <c r="C43" s="118" t="str">
        <f>IFERROR(__xludf.DUMMYFUNCTION("""COMPUTED_VALUE"""),"Gouda Gangsters")</f>
        <v>Gouda Gangsters</v>
      </c>
      <c r="D43" s="119" t="str">
        <f>IFERROR(__xludf.DUMMYFUNCTION("""COMPUTED_VALUE"""),"White Collars")</f>
        <v>White Collars</v>
      </c>
      <c r="E43" s="119" t="str">
        <f>IFERROR(__xludf.DUMMYFUNCTION("""COMPUTED_VALUE"""),"Nighthawks")</f>
        <v>Nighthawks</v>
      </c>
      <c r="F43" s="119" t="str">
        <f>IFERROR(__xludf.DUMMYFUNCTION("""COMPUTED_VALUE"""),"Merciless Mob")</f>
        <v>Merciless Mob</v>
      </c>
      <c r="G43" s="107"/>
      <c r="H43" s="119" t="str">
        <f>IFERROR(__xludf.DUMMYFUNCTION("""COMPUTED_VALUE"""),"Folks")</f>
        <v>Folks</v>
      </c>
      <c r="I43" s="119" t="str">
        <f>IFERROR(__xludf.DUMMYFUNCTION("""COMPUTED_VALUE"""),"Blacksmiths")</f>
        <v>Blacksmiths</v>
      </c>
      <c r="J43" s="119" t="str">
        <f>IFERROR(__xludf.DUMMYFUNCTION("""COMPUTED_VALUE"""),"Berserkers")</f>
        <v>Berserkers</v>
      </c>
      <c r="K43" s="119" t="str">
        <f>IFERROR(__xludf.DUMMYFUNCTION("""COMPUTED_VALUE"""),"Supernova")</f>
        <v>Supernova</v>
      </c>
      <c r="L43" s="107"/>
      <c r="M43" s="119" t="str">
        <f>IFERROR(__xludf.DUMMYFUNCTION("""COMPUTED_VALUE"""),"Banshees")</f>
        <v>Banshees</v>
      </c>
      <c r="N43" s="119" t="str">
        <f>IFERROR(__xludf.DUMMYFUNCTION("""COMPUTED_VALUE"""),"Cannoli")</f>
        <v>Cannoli</v>
      </c>
      <c r="O43" s="119" t="str">
        <f>IFERROR(__xludf.DUMMYFUNCTION("""COMPUTED_VALUE"""),"Dread")</f>
        <v>Dread</v>
      </c>
      <c r="P43" s="119" t="str">
        <f>IFERROR(__xludf.DUMMYFUNCTION("""COMPUTED_VALUE"""),"Dogfight")</f>
        <v>Dogfight</v>
      </c>
      <c r="Q43" s="107"/>
      <c r="R43" s="119" t="str">
        <f>IFERROR(__xludf.DUMMYFUNCTION("""COMPUTED_VALUE"""),"Giraffes")</f>
        <v>Giraffes</v>
      </c>
      <c r="S43" s="119" t="str">
        <f>IFERROR(__xludf.DUMMYFUNCTION("""COMPUTED_VALUE"""),"Giant Squids")</f>
        <v>Giant Squids</v>
      </c>
      <c r="T43" s="119" t="str">
        <f>IFERROR(__xludf.DUMMYFUNCTION("""COMPUTED_VALUE"""),"Mages")</f>
        <v>Mages</v>
      </c>
      <c r="U43" s="119" t="str">
        <f>IFERROR(__xludf.DUMMYFUNCTION("""COMPUTED_VALUE"""),"Fer-de-Lance")</f>
        <v>Fer-de-Lance</v>
      </c>
      <c r="V43" s="143">
        <f>IFERROR(__xludf.DUMMYFUNCTION("""COMPUTED_VALUE"""),45922.0)</f>
        <v>45922</v>
      </c>
      <c r="W43" s="73"/>
    </row>
    <row r="44">
      <c r="A44" s="73"/>
      <c r="B44" s="55" t="str">
        <f>IFERROR(__xludf.DUMMYFUNCTION("""COMPUTED_VALUE"""),"Match Day 5")</f>
        <v>Match Day 5</v>
      </c>
      <c r="C44" s="118" t="str">
        <f>IFERROR(__xludf.DUMMYFUNCTION("""COMPUTED_VALUE"""),"Nighthawks")</f>
        <v>Nighthawks</v>
      </c>
      <c r="D44" s="119" t="str">
        <f>IFERROR(__xludf.DUMMYFUNCTION("""COMPUTED_VALUE"""),"Merciless Mob")</f>
        <v>Merciless Mob</v>
      </c>
      <c r="E44" s="119" t="str">
        <f>IFERROR(__xludf.DUMMYFUNCTION("""COMPUTED_VALUE"""),"Gouda Gangsters")</f>
        <v>Gouda Gangsters</v>
      </c>
      <c r="F44" s="119" t="str">
        <f>IFERROR(__xludf.DUMMYFUNCTION("""COMPUTED_VALUE"""),"White Collars")</f>
        <v>White Collars</v>
      </c>
      <c r="G44" s="107"/>
      <c r="H44" s="119" t="str">
        <f>IFERROR(__xludf.DUMMYFUNCTION("""COMPUTED_VALUE"""),"Berserkers")</f>
        <v>Berserkers</v>
      </c>
      <c r="I44" s="119" t="str">
        <f>IFERROR(__xludf.DUMMYFUNCTION("""COMPUTED_VALUE"""),"Supernova")</f>
        <v>Supernova</v>
      </c>
      <c r="J44" s="119" t="str">
        <f>IFERROR(__xludf.DUMMYFUNCTION("""COMPUTED_VALUE"""),"Folks")</f>
        <v>Folks</v>
      </c>
      <c r="K44" s="119" t="str">
        <f>IFERROR(__xludf.DUMMYFUNCTION("""COMPUTED_VALUE"""),"Blacksmiths")</f>
        <v>Blacksmiths</v>
      </c>
      <c r="L44" s="107"/>
      <c r="M44" s="119" t="str">
        <f>IFERROR(__xludf.DUMMYFUNCTION("""COMPUTED_VALUE"""),"Dread")</f>
        <v>Dread</v>
      </c>
      <c r="N44" s="119" t="str">
        <f>IFERROR(__xludf.DUMMYFUNCTION("""COMPUTED_VALUE"""),"Dogfight")</f>
        <v>Dogfight</v>
      </c>
      <c r="O44" s="119" t="str">
        <f>IFERROR(__xludf.DUMMYFUNCTION("""COMPUTED_VALUE"""),"Banshees")</f>
        <v>Banshees</v>
      </c>
      <c r="P44" s="119" t="str">
        <f>IFERROR(__xludf.DUMMYFUNCTION("""COMPUTED_VALUE"""),"Cannoli")</f>
        <v>Cannoli</v>
      </c>
      <c r="Q44" s="107"/>
      <c r="R44" s="119" t="str">
        <f>IFERROR(__xludf.DUMMYFUNCTION("""COMPUTED_VALUE"""),"Mages")</f>
        <v>Mages</v>
      </c>
      <c r="S44" s="119" t="str">
        <f>IFERROR(__xludf.DUMMYFUNCTION("""COMPUTED_VALUE"""),"Fer-de-Lance")</f>
        <v>Fer-de-Lance</v>
      </c>
      <c r="T44" s="119" t="str">
        <f>IFERROR(__xludf.DUMMYFUNCTION("""COMPUTED_VALUE"""),"Giraffes")</f>
        <v>Giraffes</v>
      </c>
      <c r="U44" s="119" t="str">
        <f>IFERROR(__xludf.DUMMYFUNCTION("""COMPUTED_VALUE"""),"Giant Squids")</f>
        <v>Giant Squids</v>
      </c>
      <c r="V44" s="143">
        <f>IFERROR(__xludf.DUMMYFUNCTION("""COMPUTED_VALUE"""),45924.0)</f>
        <v>45924</v>
      </c>
      <c r="W44" s="73"/>
    </row>
    <row r="45">
      <c r="A45" s="73"/>
      <c r="B45" s="55" t="str">
        <f>IFERROR(__xludf.DUMMYFUNCTION("""COMPUTED_VALUE"""),"Match Day 6")</f>
        <v>Match Day 6</v>
      </c>
      <c r="C45" s="121" t="str">
        <f>IFERROR(__xludf.DUMMYFUNCTION("""COMPUTED_VALUE"""),"Gorillas")</f>
        <v>Gorillas</v>
      </c>
      <c r="D45" s="122" t="str">
        <f>IFERROR(__xludf.DUMMYFUNCTION("""COMPUTED_VALUE"""),"Gargoyle")</f>
        <v>Gargoyle</v>
      </c>
      <c r="E45" s="122" t="str">
        <f>IFERROR(__xludf.DUMMYFUNCTION("""COMPUTED_VALUE"""),"Peppermint")</f>
        <v>Peppermint</v>
      </c>
      <c r="F45" s="122" t="str">
        <f>IFERROR(__xludf.DUMMYFUNCTION("""COMPUTED_VALUE"""),"Avalanche")</f>
        <v>Avalanche</v>
      </c>
      <c r="G45" s="107"/>
      <c r="H45" s="122" t="str">
        <f>IFERROR(__xludf.DUMMYFUNCTION("""COMPUTED_VALUE"""),"Sons of Ares")</f>
        <v>Sons of Ares</v>
      </c>
      <c r="I45" s="122" t="str">
        <f>IFERROR(__xludf.DUMMYFUNCTION("""COMPUTED_VALUE"""),"Singularity")</f>
        <v>Singularity</v>
      </c>
      <c r="J45" s="122" t="str">
        <f>IFERROR(__xludf.DUMMYFUNCTION("""COMPUTED_VALUE"""),"Navigators")</f>
        <v>Navigators</v>
      </c>
      <c r="K45" s="122" t="str">
        <f>IFERROR(__xludf.DUMMYFUNCTION("""COMPUTED_VALUE"""),"Street Rats")</f>
        <v>Street Rats</v>
      </c>
      <c r="L45" s="107"/>
      <c r="M45" s="122" t="str">
        <f>IFERROR(__xludf.DUMMYFUNCTION("""COMPUTED_VALUE"""),"Makos")</f>
        <v>Makos</v>
      </c>
      <c r="N45" s="122" t="str">
        <f>IFERROR(__xludf.DUMMYFUNCTION("""COMPUTED_VALUE"""),"Kirin")</f>
        <v>Kirin</v>
      </c>
      <c r="O45" s="122" t="str">
        <f>IFERROR(__xludf.DUMMYFUNCTION("""COMPUTED_VALUE"""),"Mosaic Maestros")</f>
        <v>Mosaic Maestros</v>
      </c>
      <c r="P45" s="122" t="str">
        <f>IFERROR(__xludf.DUMMYFUNCTION("""COMPUTED_VALUE"""),"Water")</f>
        <v>Water</v>
      </c>
      <c r="Q45" s="107"/>
      <c r="R45" s="122" t="str">
        <f>IFERROR(__xludf.DUMMYFUNCTION("""COMPUTED_VALUE"""),"Legati")</f>
        <v>Legati</v>
      </c>
      <c r="S45" s="122" t="str">
        <f>IFERROR(__xludf.DUMMYFUNCTION("""COMPUTED_VALUE"""),"Grizzly Bears")</f>
        <v>Grizzly Bears</v>
      </c>
      <c r="T45" s="122" t="str">
        <f>IFERROR(__xludf.DUMMYFUNCTION("""COMPUTED_VALUE"""),"Shadow Tails")</f>
        <v>Shadow Tails</v>
      </c>
      <c r="U45" s="122" t="str">
        <f>IFERROR(__xludf.DUMMYFUNCTION("""COMPUTED_VALUE"""),"Lycans")</f>
        <v>Lycans</v>
      </c>
      <c r="V45" s="143">
        <f>IFERROR(__xludf.DUMMYFUNCTION("""COMPUTED_VALUE"""),45929.0)</f>
        <v>45929</v>
      </c>
      <c r="W45" s="73"/>
    </row>
    <row r="46">
      <c r="A46" s="73"/>
      <c r="B46" s="55" t="str">
        <f>IFERROR(__xludf.DUMMYFUNCTION("""COMPUTED_VALUE"""),"Match Day 7")</f>
        <v>Match Day 7</v>
      </c>
      <c r="C46" s="121" t="str">
        <f>IFERROR(__xludf.DUMMYFUNCTION("""COMPUTED_VALUE"""),"Gargoyle")</f>
        <v>Gargoyle</v>
      </c>
      <c r="D46" s="122" t="str">
        <f>IFERROR(__xludf.DUMMYFUNCTION("""COMPUTED_VALUE"""),"Gorillas")</f>
        <v>Gorillas</v>
      </c>
      <c r="E46" s="122" t="str">
        <f>IFERROR(__xludf.DUMMYFUNCTION("""COMPUTED_VALUE"""),"Avalanche")</f>
        <v>Avalanche</v>
      </c>
      <c r="F46" s="122" t="str">
        <f>IFERROR(__xludf.DUMMYFUNCTION("""COMPUTED_VALUE"""),"Peppermint")</f>
        <v>Peppermint</v>
      </c>
      <c r="G46" s="107"/>
      <c r="H46" s="122" t="str">
        <f>IFERROR(__xludf.DUMMYFUNCTION("""COMPUTED_VALUE"""),"Singularity")</f>
        <v>Singularity</v>
      </c>
      <c r="I46" s="122" t="str">
        <f>IFERROR(__xludf.DUMMYFUNCTION("""COMPUTED_VALUE"""),"Sons of Ares")</f>
        <v>Sons of Ares</v>
      </c>
      <c r="J46" s="122" t="str">
        <f>IFERROR(__xludf.DUMMYFUNCTION("""COMPUTED_VALUE"""),"Street Rats")</f>
        <v>Street Rats</v>
      </c>
      <c r="K46" s="122" t="str">
        <f>IFERROR(__xludf.DUMMYFUNCTION("""COMPUTED_VALUE"""),"Navigators")</f>
        <v>Navigators</v>
      </c>
      <c r="L46" s="107"/>
      <c r="M46" s="122" t="str">
        <f>IFERROR(__xludf.DUMMYFUNCTION("""COMPUTED_VALUE"""),"Kirin")</f>
        <v>Kirin</v>
      </c>
      <c r="N46" s="122" t="str">
        <f>IFERROR(__xludf.DUMMYFUNCTION("""COMPUTED_VALUE"""),"Makos")</f>
        <v>Makos</v>
      </c>
      <c r="O46" s="122" t="str">
        <f>IFERROR(__xludf.DUMMYFUNCTION("""COMPUTED_VALUE"""),"Water")</f>
        <v>Water</v>
      </c>
      <c r="P46" s="122" t="str">
        <f>IFERROR(__xludf.DUMMYFUNCTION("""COMPUTED_VALUE"""),"Mosaic Maestros")</f>
        <v>Mosaic Maestros</v>
      </c>
      <c r="Q46" s="107"/>
      <c r="R46" s="122" t="str">
        <f>IFERROR(__xludf.DUMMYFUNCTION("""COMPUTED_VALUE"""),"Grizzly Bears")</f>
        <v>Grizzly Bears</v>
      </c>
      <c r="S46" s="122" t="str">
        <f>IFERROR(__xludf.DUMMYFUNCTION("""COMPUTED_VALUE"""),"Legati")</f>
        <v>Legati</v>
      </c>
      <c r="T46" s="122" t="str">
        <f>IFERROR(__xludf.DUMMYFUNCTION("""COMPUTED_VALUE"""),"Lycans")</f>
        <v>Lycans</v>
      </c>
      <c r="U46" s="122" t="str">
        <f>IFERROR(__xludf.DUMMYFUNCTION("""COMPUTED_VALUE"""),"Shadow Tails")</f>
        <v>Shadow Tails</v>
      </c>
      <c r="V46" s="143">
        <f>IFERROR(__xludf.DUMMYFUNCTION("""COMPUTED_VALUE"""),45931.0)</f>
        <v>45931</v>
      </c>
      <c r="W46" s="73"/>
    </row>
    <row r="47">
      <c r="A47" s="73"/>
      <c r="B47" s="55" t="str">
        <f>IFERROR(__xludf.DUMMYFUNCTION("""COMPUTED_VALUE"""),"Match Day 8")</f>
        <v>Match Day 8</v>
      </c>
      <c r="C47" s="121" t="str">
        <f>IFERROR(__xludf.DUMMYFUNCTION("""COMPUTED_VALUE"""),"Peppermint")</f>
        <v>Peppermint</v>
      </c>
      <c r="D47" s="122" t="str">
        <f>IFERROR(__xludf.DUMMYFUNCTION("""COMPUTED_VALUE"""),"Avalanche")</f>
        <v>Avalanche</v>
      </c>
      <c r="E47" s="122" t="str">
        <f>IFERROR(__xludf.DUMMYFUNCTION("""COMPUTED_VALUE"""),"Gorillas")</f>
        <v>Gorillas</v>
      </c>
      <c r="F47" s="122" t="str">
        <f>IFERROR(__xludf.DUMMYFUNCTION("""COMPUTED_VALUE"""),"Gargoyle")</f>
        <v>Gargoyle</v>
      </c>
      <c r="G47" s="107"/>
      <c r="H47" s="122" t="str">
        <f>IFERROR(__xludf.DUMMYFUNCTION("""COMPUTED_VALUE"""),"Navigators")</f>
        <v>Navigators</v>
      </c>
      <c r="I47" s="122" t="str">
        <f>IFERROR(__xludf.DUMMYFUNCTION("""COMPUTED_VALUE"""),"Street Rats")</f>
        <v>Street Rats</v>
      </c>
      <c r="J47" s="122" t="str">
        <f>IFERROR(__xludf.DUMMYFUNCTION("""COMPUTED_VALUE"""),"Sons of Ares")</f>
        <v>Sons of Ares</v>
      </c>
      <c r="K47" s="122" t="str">
        <f>IFERROR(__xludf.DUMMYFUNCTION("""COMPUTED_VALUE"""),"Singularity")</f>
        <v>Singularity</v>
      </c>
      <c r="L47" s="107"/>
      <c r="M47" s="122" t="str">
        <f>IFERROR(__xludf.DUMMYFUNCTION("""COMPUTED_VALUE"""),"Mosaic Maestros")</f>
        <v>Mosaic Maestros</v>
      </c>
      <c r="N47" s="122" t="str">
        <f>IFERROR(__xludf.DUMMYFUNCTION("""COMPUTED_VALUE"""),"Water")</f>
        <v>Water</v>
      </c>
      <c r="O47" s="122" t="str">
        <f>IFERROR(__xludf.DUMMYFUNCTION("""COMPUTED_VALUE"""),"Makos")</f>
        <v>Makos</v>
      </c>
      <c r="P47" s="122" t="str">
        <f>IFERROR(__xludf.DUMMYFUNCTION("""COMPUTED_VALUE"""),"Kirin")</f>
        <v>Kirin</v>
      </c>
      <c r="Q47" s="107"/>
      <c r="R47" s="122" t="str">
        <f>IFERROR(__xludf.DUMMYFUNCTION("""COMPUTED_VALUE"""),"Shadow Tails")</f>
        <v>Shadow Tails</v>
      </c>
      <c r="S47" s="122" t="str">
        <f>IFERROR(__xludf.DUMMYFUNCTION("""COMPUTED_VALUE"""),"Lycans")</f>
        <v>Lycans</v>
      </c>
      <c r="T47" s="122" t="str">
        <f>IFERROR(__xludf.DUMMYFUNCTION("""COMPUTED_VALUE"""),"Legati")</f>
        <v>Legati</v>
      </c>
      <c r="U47" s="122" t="str">
        <f>IFERROR(__xludf.DUMMYFUNCTION("""COMPUTED_VALUE"""),"Grizzly Bears")</f>
        <v>Grizzly Bears</v>
      </c>
      <c r="V47" s="143">
        <f>IFERROR(__xludf.DUMMYFUNCTION("""COMPUTED_VALUE"""),45936.0)</f>
        <v>45936</v>
      </c>
      <c r="W47" s="73"/>
    </row>
    <row r="48">
      <c r="A48" s="73"/>
      <c r="B48" s="67" t="str">
        <f>IFERROR(__xludf.DUMMYFUNCTION("""COMPUTED_VALUE"""),"Match Day 9")</f>
        <v>Match Day 9</v>
      </c>
      <c r="C48" s="121" t="str">
        <f>IFERROR(__xludf.DUMMYFUNCTION("""COMPUTED_VALUE"""),"Avalanche")</f>
        <v>Avalanche</v>
      </c>
      <c r="D48" s="122" t="str">
        <f>IFERROR(__xludf.DUMMYFUNCTION("""COMPUTED_VALUE"""),"Peppermint")</f>
        <v>Peppermint</v>
      </c>
      <c r="E48" s="122" t="str">
        <f>IFERROR(__xludf.DUMMYFUNCTION("""COMPUTED_VALUE"""),"Gargoyle")</f>
        <v>Gargoyle</v>
      </c>
      <c r="F48" s="122" t="str">
        <f>IFERROR(__xludf.DUMMYFUNCTION("""COMPUTED_VALUE"""),"Gorillas")</f>
        <v>Gorillas</v>
      </c>
      <c r="G48" s="107"/>
      <c r="H48" s="122" t="str">
        <f>IFERROR(__xludf.DUMMYFUNCTION("""COMPUTED_VALUE"""),"Street Rats")</f>
        <v>Street Rats</v>
      </c>
      <c r="I48" s="122" t="str">
        <f>IFERROR(__xludf.DUMMYFUNCTION("""COMPUTED_VALUE"""),"Navigators")</f>
        <v>Navigators</v>
      </c>
      <c r="J48" s="122" t="str">
        <f>IFERROR(__xludf.DUMMYFUNCTION("""COMPUTED_VALUE"""),"Singularity")</f>
        <v>Singularity</v>
      </c>
      <c r="K48" s="122" t="str">
        <f>IFERROR(__xludf.DUMMYFUNCTION("""COMPUTED_VALUE"""),"Sons of Ares")</f>
        <v>Sons of Ares</v>
      </c>
      <c r="L48" s="107"/>
      <c r="M48" s="122" t="str">
        <f>IFERROR(__xludf.DUMMYFUNCTION("""COMPUTED_VALUE"""),"Water")</f>
        <v>Water</v>
      </c>
      <c r="N48" s="122" t="str">
        <f>IFERROR(__xludf.DUMMYFUNCTION("""COMPUTED_VALUE"""),"Mosaic Maestros")</f>
        <v>Mosaic Maestros</v>
      </c>
      <c r="O48" s="122" t="str">
        <f>IFERROR(__xludf.DUMMYFUNCTION("""COMPUTED_VALUE"""),"Kirin")</f>
        <v>Kirin</v>
      </c>
      <c r="P48" s="122" t="str">
        <f>IFERROR(__xludf.DUMMYFUNCTION("""COMPUTED_VALUE"""),"Makos")</f>
        <v>Makos</v>
      </c>
      <c r="Q48" s="107"/>
      <c r="R48" s="122" t="str">
        <f>IFERROR(__xludf.DUMMYFUNCTION("""COMPUTED_VALUE"""),"Lycans")</f>
        <v>Lycans</v>
      </c>
      <c r="S48" s="122" t="str">
        <f>IFERROR(__xludf.DUMMYFUNCTION("""COMPUTED_VALUE"""),"Shadow Tails")</f>
        <v>Shadow Tails</v>
      </c>
      <c r="T48" s="122" t="str">
        <f>IFERROR(__xludf.DUMMYFUNCTION("""COMPUTED_VALUE"""),"Grizzly Bears")</f>
        <v>Grizzly Bears</v>
      </c>
      <c r="U48" s="122" t="str">
        <f>IFERROR(__xludf.DUMMYFUNCTION("""COMPUTED_VALUE"""),"Legati")</f>
        <v>Legati</v>
      </c>
      <c r="V48" s="143">
        <f>IFERROR(__xludf.DUMMYFUNCTION("""COMPUTED_VALUE"""),45938.0)</f>
        <v>45938</v>
      </c>
      <c r="W48" s="73"/>
    </row>
    <row r="49">
      <c r="A49" s="73"/>
      <c r="B49" s="55" t="str">
        <f>IFERROR(__xludf.DUMMYFUNCTION("""COMPUTED_VALUE"""),"Match Day 10")</f>
        <v>Match Day 10</v>
      </c>
      <c r="C49" s="87" t="str">
        <f>IFERROR(__xludf.DUMMYFUNCTION("""COMPUTED_VALUE"""),"Cannoli")</f>
        <v>Cannoli</v>
      </c>
      <c r="D49" s="88" t="str">
        <f>IFERROR(__xludf.DUMMYFUNCTION("""COMPUTED_VALUE"""),"Banshees")</f>
        <v>Banshees</v>
      </c>
      <c r="E49" s="88" t="str">
        <f>IFERROR(__xludf.DUMMYFUNCTION("""COMPUTED_VALUE"""),"Dogfight")</f>
        <v>Dogfight</v>
      </c>
      <c r="F49" s="88" t="str">
        <f>IFERROR(__xludf.DUMMYFUNCTION("""COMPUTED_VALUE"""),"Dread")</f>
        <v>Dread</v>
      </c>
      <c r="G49" s="107"/>
      <c r="H49" s="88" t="str">
        <f>IFERROR(__xludf.DUMMYFUNCTION("""COMPUTED_VALUE"""),"Giant Squids")</f>
        <v>Giant Squids</v>
      </c>
      <c r="I49" s="88" t="str">
        <f>IFERROR(__xludf.DUMMYFUNCTION("""COMPUTED_VALUE"""),"Giraffes")</f>
        <v>Giraffes</v>
      </c>
      <c r="J49" s="88" t="str">
        <f>IFERROR(__xludf.DUMMYFUNCTION("""COMPUTED_VALUE"""),"Fer-de-Lance")</f>
        <v>Fer-de-Lance</v>
      </c>
      <c r="K49" s="88" t="str">
        <f>IFERROR(__xludf.DUMMYFUNCTION("""COMPUTED_VALUE"""),"Mages")</f>
        <v>Mages</v>
      </c>
      <c r="L49" s="107"/>
      <c r="M49" s="88" t="str">
        <f>IFERROR(__xludf.DUMMYFUNCTION("""COMPUTED_VALUE"""),"White Collars")</f>
        <v>White Collars</v>
      </c>
      <c r="N49" s="88" t="str">
        <f>IFERROR(__xludf.DUMMYFUNCTION("""COMPUTED_VALUE"""),"Gouda Gangsters")</f>
        <v>Gouda Gangsters</v>
      </c>
      <c r="O49" s="88" t="str">
        <f>IFERROR(__xludf.DUMMYFUNCTION("""COMPUTED_VALUE"""),"Merciless Mob")</f>
        <v>Merciless Mob</v>
      </c>
      <c r="P49" s="88" t="str">
        <f>IFERROR(__xludf.DUMMYFUNCTION("""COMPUTED_VALUE"""),"Nighthawks")</f>
        <v>Nighthawks</v>
      </c>
      <c r="Q49" s="107"/>
      <c r="R49" s="88" t="str">
        <f>IFERROR(__xludf.DUMMYFUNCTION("""COMPUTED_VALUE"""),"Blacksmiths")</f>
        <v>Blacksmiths</v>
      </c>
      <c r="S49" s="88" t="str">
        <f>IFERROR(__xludf.DUMMYFUNCTION("""COMPUTED_VALUE"""),"Folks")</f>
        <v>Folks</v>
      </c>
      <c r="T49" s="88" t="str">
        <f>IFERROR(__xludf.DUMMYFUNCTION("""COMPUTED_VALUE"""),"Supernova")</f>
        <v>Supernova</v>
      </c>
      <c r="U49" s="88" t="str">
        <f>IFERROR(__xludf.DUMMYFUNCTION("""COMPUTED_VALUE"""),"Berserkers")</f>
        <v>Berserkers</v>
      </c>
      <c r="V49" s="143">
        <f>IFERROR(__xludf.DUMMYFUNCTION("""COMPUTED_VALUE"""),45945.0)</f>
        <v>45945</v>
      </c>
      <c r="W49" s="73"/>
    </row>
    <row r="50">
      <c r="A50" s="73"/>
      <c r="B50" s="55" t="str">
        <f>IFERROR(__xludf.DUMMYFUNCTION("""COMPUTED_VALUE"""),"Match Day 11")</f>
        <v>Match Day 11</v>
      </c>
      <c r="C50" s="87" t="str">
        <f>IFERROR(__xludf.DUMMYFUNCTION("""COMPUTED_VALUE"""),"Banshees")</f>
        <v>Banshees</v>
      </c>
      <c r="D50" s="88" t="str">
        <f>IFERROR(__xludf.DUMMYFUNCTION("""COMPUTED_VALUE"""),"Cannoli")</f>
        <v>Cannoli</v>
      </c>
      <c r="E50" s="88" t="str">
        <f>IFERROR(__xludf.DUMMYFUNCTION("""COMPUTED_VALUE"""),"Dread")</f>
        <v>Dread</v>
      </c>
      <c r="F50" s="88" t="str">
        <f>IFERROR(__xludf.DUMMYFUNCTION("""COMPUTED_VALUE"""),"Dogfight")</f>
        <v>Dogfight</v>
      </c>
      <c r="G50" s="107"/>
      <c r="H50" s="88" t="str">
        <f>IFERROR(__xludf.DUMMYFUNCTION("""COMPUTED_VALUE"""),"Giraffes")</f>
        <v>Giraffes</v>
      </c>
      <c r="I50" s="88" t="str">
        <f>IFERROR(__xludf.DUMMYFUNCTION("""COMPUTED_VALUE"""),"Giant Squids")</f>
        <v>Giant Squids</v>
      </c>
      <c r="J50" s="88" t="str">
        <f>IFERROR(__xludf.DUMMYFUNCTION("""COMPUTED_VALUE"""),"Mages")</f>
        <v>Mages</v>
      </c>
      <c r="K50" s="88" t="str">
        <f>IFERROR(__xludf.DUMMYFUNCTION("""COMPUTED_VALUE"""),"Fer-de-Lance")</f>
        <v>Fer-de-Lance</v>
      </c>
      <c r="L50" s="107"/>
      <c r="M50" s="88" t="str">
        <f>IFERROR(__xludf.DUMMYFUNCTION("""COMPUTED_VALUE"""),"Gouda Gangsters")</f>
        <v>Gouda Gangsters</v>
      </c>
      <c r="N50" s="88" t="str">
        <f>IFERROR(__xludf.DUMMYFUNCTION("""COMPUTED_VALUE"""),"White Collars")</f>
        <v>White Collars</v>
      </c>
      <c r="O50" s="88" t="str">
        <f>IFERROR(__xludf.DUMMYFUNCTION("""COMPUTED_VALUE"""),"Nighthawks")</f>
        <v>Nighthawks</v>
      </c>
      <c r="P50" s="88" t="str">
        <f>IFERROR(__xludf.DUMMYFUNCTION("""COMPUTED_VALUE"""),"Merciless Mob")</f>
        <v>Merciless Mob</v>
      </c>
      <c r="Q50" s="107"/>
      <c r="R50" s="88" t="str">
        <f>IFERROR(__xludf.DUMMYFUNCTION("""COMPUTED_VALUE"""),"Folks")</f>
        <v>Folks</v>
      </c>
      <c r="S50" s="88" t="str">
        <f>IFERROR(__xludf.DUMMYFUNCTION("""COMPUTED_VALUE"""),"Blacksmiths")</f>
        <v>Blacksmiths</v>
      </c>
      <c r="T50" s="88" t="str">
        <f>IFERROR(__xludf.DUMMYFUNCTION("""COMPUTED_VALUE"""),"Berserkers")</f>
        <v>Berserkers</v>
      </c>
      <c r="U50" s="88" t="str">
        <f>IFERROR(__xludf.DUMMYFUNCTION("""COMPUTED_VALUE"""),"Supernova")</f>
        <v>Supernova</v>
      </c>
      <c r="V50" s="143">
        <f>IFERROR(__xludf.DUMMYFUNCTION("""COMPUTED_VALUE"""),45950.0)</f>
        <v>45950</v>
      </c>
      <c r="W50" s="73"/>
    </row>
    <row r="51">
      <c r="A51" s="73"/>
      <c r="B51" s="68" t="str">
        <f>IFERROR(__xludf.DUMMYFUNCTION("""COMPUTED_VALUE"""),"Match Day 12")</f>
        <v>Match Day 12</v>
      </c>
      <c r="C51" s="87" t="str">
        <f>IFERROR(__xludf.DUMMYFUNCTION("""COMPUTED_VALUE"""),"Dogfight")</f>
        <v>Dogfight</v>
      </c>
      <c r="D51" s="88" t="str">
        <f>IFERROR(__xludf.DUMMYFUNCTION("""COMPUTED_VALUE"""),"Dread")</f>
        <v>Dread</v>
      </c>
      <c r="E51" s="88" t="str">
        <f>IFERROR(__xludf.DUMMYFUNCTION("""COMPUTED_VALUE"""),"Cannoli")</f>
        <v>Cannoli</v>
      </c>
      <c r="F51" s="88" t="str">
        <f>IFERROR(__xludf.DUMMYFUNCTION("""COMPUTED_VALUE"""),"Banshees")</f>
        <v>Banshees</v>
      </c>
      <c r="G51" s="107"/>
      <c r="H51" s="88" t="str">
        <f>IFERROR(__xludf.DUMMYFUNCTION("""COMPUTED_VALUE"""),"Fer-de-Lance")</f>
        <v>Fer-de-Lance</v>
      </c>
      <c r="I51" s="88" t="str">
        <f>IFERROR(__xludf.DUMMYFUNCTION("""COMPUTED_VALUE"""),"Mages")</f>
        <v>Mages</v>
      </c>
      <c r="J51" s="88" t="str">
        <f>IFERROR(__xludf.DUMMYFUNCTION("""COMPUTED_VALUE"""),"Giant Squids")</f>
        <v>Giant Squids</v>
      </c>
      <c r="K51" s="88" t="str">
        <f>IFERROR(__xludf.DUMMYFUNCTION("""COMPUTED_VALUE"""),"Giraffes")</f>
        <v>Giraffes</v>
      </c>
      <c r="L51" s="107"/>
      <c r="M51" s="88" t="str">
        <f>IFERROR(__xludf.DUMMYFUNCTION("""COMPUTED_VALUE"""),"Merciless Mob")</f>
        <v>Merciless Mob</v>
      </c>
      <c r="N51" s="88" t="str">
        <f>IFERROR(__xludf.DUMMYFUNCTION("""COMPUTED_VALUE"""),"Nighthawks")</f>
        <v>Nighthawks</v>
      </c>
      <c r="O51" s="88" t="str">
        <f>IFERROR(__xludf.DUMMYFUNCTION("""COMPUTED_VALUE"""),"White Collars")</f>
        <v>White Collars</v>
      </c>
      <c r="P51" s="88" t="str">
        <f>IFERROR(__xludf.DUMMYFUNCTION("""COMPUTED_VALUE"""),"Gouda Gangsters")</f>
        <v>Gouda Gangsters</v>
      </c>
      <c r="Q51" s="107"/>
      <c r="R51" s="88" t="str">
        <f>IFERROR(__xludf.DUMMYFUNCTION("""COMPUTED_VALUE"""),"Supernova")</f>
        <v>Supernova</v>
      </c>
      <c r="S51" s="88" t="str">
        <f>IFERROR(__xludf.DUMMYFUNCTION("""COMPUTED_VALUE"""),"Berserkers")</f>
        <v>Berserkers</v>
      </c>
      <c r="T51" s="88" t="str">
        <f>IFERROR(__xludf.DUMMYFUNCTION("""COMPUTED_VALUE"""),"Blacksmiths")</f>
        <v>Blacksmiths</v>
      </c>
      <c r="U51" s="88" t="str">
        <f>IFERROR(__xludf.DUMMYFUNCTION("""COMPUTED_VALUE"""),"Folks")</f>
        <v>Folks</v>
      </c>
      <c r="V51" s="143">
        <f>IFERROR(__xludf.DUMMYFUNCTION("""COMPUTED_VALUE"""),45952.0)</f>
        <v>45952</v>
      </c>
      <c r="W51" s="73"/>
    </row>
    <row r="52">
      <c r="A52" s="73"/>
      <c r="B52" s="68" t="str">
        <f>IFERROR(__xludf.DUMMYFUNCTION("""COMPUTED_VALUE"""),"Match Day 13")</f>
        <v>Match Day 13</v>
      </c>
      <c r="C52" s="87" t="str">
        <f>IFERROR(__xludf.DUMMYFUNCTION("""COMPUTED_VALUE"""),"Dread")</f>
        <v>Dread</v>
      </c>
      <c r="D52" s="88" t="str">
        <f>IFERROR(__xludf.DUMMYFUNCTION("""COMPUTED_VALUE"""),"Dogfight")</f>
        <v>Dogfight</v>
      </c>
      <c r="E52" s="88" t="str">
        <f>IFERROR(__xludf.DUMMYFUNCTION("""COMPUTED_VALUE"""),"Banshees")</f>
        <v>Banshees</v>
      </c>
      <c r="F52" s="88" t="str">
        <f>IFERROR(__xludf.DUMMYFUNCTION("""COMPUTED_VALUE"""),"Cannoli")</f>
        <v>Cannoli</v>
      </c>
      <c r="G52" s="107"/>
      <c r="H52" s="88" t="str">
        <f>IFERROR(__xludf.DUMMYFUNCTION("""COMPUTED_VALUE"""),"Mages")</f>
        <v>Mages</v>
      </c>
      <c r="I52" s="88" t="str">
        <f>IFERROR(__xludf.DUMMYFUNCTION("""COMPUTED_VALUE"""),"Fer-de-Lance")</f>
        <v>Fer-de-Lance</v>
      </c>
      <c r="J52" s="88" t="str">
        <f>IFERROR(__xludf.DUMMYFUNCTION("""COMPUTED_VALUE"""),"Giraffes")</f>
        <v>Giraffes</v>
      </c>
      <c r="K52" s="88" t="str">
        <f>IFERROR(__xludf.DUMMYFUNCTION("""COMPUTED_VALUE"""),"Giant Squids")</f>
        <v>Giant Squids</v>
      </c>
      <c r="L52" s="107"/>
      <c r="M52" s="88" t="str">
        <f>IFERROR(__xludf.DUMMYFUNCTION("""COMPUTED_VALUE"""),"Nighthawks")</f>
        <v>Nighthawks</v>
      </c>
      <c r="N52" s="88" t="str">
        <f>IFERROR(__xludf.DUMMYFUNCTION("""COMPUTED_VALUE"""),"Merciless Mob")</f>
        <v>Merciless Mob</v>
      </c>
      <c r="O52" s="88" t="str">
        <f>IFERROR(__xludf.DUMMYFUNCTION("""COMPUTED_VALUE"""),"Gouda Gangsters")</f>
        <v>Gouda Gangsters</v>
      </c>
      <c r="P52" s="88" t="str">
        <f>IFERROR(__xludf.DUMMYFUNCTION("""COMPUTED_VALUE"""),"White Collars")</f>
        <v>White Collars</v>
      </c>
      <c r="Q52" s="107"/>
      <c r="R52" s="88" t="str">
        <f>IFERROR(__xludf.DUMMYFUNCTION("""COMPUTED_VALUE"""),"Berserkers")</f>
        <v>Berserkers</v>
      </c>
      <c r="S52" s="88" t="str">
        <f>IFERROR(__xludf.DUMMYFUNCTION("""COMPUTED_VALUE"""),"Supernova")</f>
        <v>Supernova</v>
      </c>
      <c r="T52" s="88" t="str">
        <f>IFERROR(__xludf.DUMMYFUNCTION("""COMPUTED_VALUE"""),"Folks")</f>
        <v>Folks</v>
      </c>
      <c r="U52" s="88" t="str">
        <f>IFERROR(__xludf.DUMMYFUNCTION("""COMPUTED_VALUE"""),"Blacksmiths")</f>
        <v>Blacksmiths</v>
      </c>
      <c r="V52" s="143">
        <f>IFERROR(__xludf.DUMMYFUNCTION("""COMPUTED_VALUE"""),45957.0)</f>
        <v>45957</v>
      </c>
      <c r="W52" s="73"/>
    </row>
    <row r="53">
      <c r="A53" s="73"/>
      <c r="B53" s="55" t="str">
        <f>IFERROR(__xludf.DUMMYFUNCTION("""COMPUTED_VALUE"""),"Match Day 14")</f>
        <v>Match Day 14</v>
      </c>
      <c r="C53" s="118" t="str">
        <f>IFERROR(__xludf.DUMMYFUNCTION("""COMPUTED_VALUE"""),"Merciless Mob")</f>
        <v>Merciless Mob</v>
      </c>
      <c r="D53" s="119" t="str">
        <f>IFERROR(__xludf.DUMMYFUNCTION("""COMPUTED_VALUE"""),"Nighthawks")</f>
        <v>Nighthawks</v>
      </c>
      <c r="E53" s="119" t="str">
        <f>IFERROR(__xludf.DUMMYFUNCTION("""COMPUTED_VALUE"""),"White Collars")</f>
        <v>White Collars</v>
      </c>
      <c r="F53" s="119" t="str">
        <f>IFERROR(__xludf.DUMMYFUNCTION("""COMPUTED_VALUE"""),"Gouda Gangsters")</f>
        <v>Gouda Gangsters</v>
      </c>
      <c r="G53" s="107"/>
      <c r="H53" s="119" t="str">
        <f>IFERROR(__xludf.DUMMYFUNCTION("""COMPUTED_VALUE"""),"Supernova")</f>
        <v>Supernova</v>
      </c>
      <c r="I53" s="119" t="str">
        <f>IFERROR(__xludf.DUMMYFUNCTION("""COMPUTED_VALUE"""),"Berserkers")</f>
        <v>Berserkers</v>
      </c>
      <c r="J53" s="119" t="str">
        <f>IFERROR(__xludf.DUMMYFUNCTION("""COMPUTED_VALUE"""),"Blacksmiths")</f>
        <v>Blacksmiths</v>
      </c>
      <c r="K53" s="119" t="str">
        <f>IFERROR(__xludf.DUMMYFUNCTION("""COMPUTED_VALUE"""),"Folks")</f>
        <v>Folks</v>
      </c>
      <c r="L53" s="107"/>
      <c r="M53" s="119" t="str">
        <f>IFERROR(__xludf.DUMMYFUNCTION("""COMPUTED_VALUE"""),"Dogfight")</f>
        <v>Dogfight</v>
      </c>
      <c r="N53" s="119" t="str">
        <f>IFERROR(__xludf.DUMMYFUNCTION("""COMPUTED_VALUE"""),"Dread")</f>
        <v>Dread</v>
      </c>
      <c r="O53" s="119" t="str">
        <f>IFERROR(__xludf.DUMMYFUNCTION("""COMPUTED_VALUE"""),"Cannoli")</f>
        <v>Cannoli</v>
      </c>
      <c r="P53" s="119" t="str">
        <f>IFERROR(__xludf.DUMMYFUNCTION("""COMPUTED_VALUE"""),"Banshees")</f>
        <v>Banshees</v>
      </c>
      <c r="Q53" s="107"/>
      <c r="R53" s="119" t="str">
        <f>IFERROR(__xludf.DUMMYFUNCTION("""COMPUTED_VALUE"""),"Fer-de-Lance")</f>
        <v>Fer-de-Lance</v>
      </c>
      <c r="S53" s="119" t="str">
        <f>IFERROR(__xludf.DUMMYFUNCTION("""COMPUTED_VALUE"""),"Mages")</f>
        <v>Mages</v>
      </c>
      <c r="T53" s="119" t="str">
        <f>IFERROR(__xludf.DUMMYFUNCTION("""COMPUTED_VALUE"""),"Giant Squids")</f>
        <v>Giant Squids</v>
      </c>
      <c r="U53" s="119" t="str">
        <f>IFERROR(__xludf.DUMMYFUNCTION("""COMPUTED_VALUE"""),"Giraffes")</f>
        <v>Giraffes</v>
      </c>
      <c r="V53" s="143">
        <f>IFERROR(__xludf.DUMMYFUNCTION("""COMPUTED_VALUE"""),45959.0)</f>
        <v>45959</v>
      </c>
      <c r="W53" s="73"/>
    </row>
    <row r="54">
      <c r="A54" s="73"/>
      <c r="B54" s="55" t="str">
        <f>IFERROR(__xludf.DUMMYFUNCTION("""COMPUTED_VALUE"""),"Match Day 15")</f>
        <v>Match Day 15</v>
      </c>
      <c r="C54" s="118" t="str">
        <f>IFERROR(__xludf.DUMMYFUNCTION("""COMPUTED_VALUE"""),"Gouda Gangsters")</f>
        <v>Gouda Gangsters</v>
      </c>
      <c r="D54" s="119" t="str">
        <f>IFERROR(__xludf.DUMMYFUNCTION("""COMPUTED_VALUE"""),"White Collars")</f>
        <v>White Collars</v>
      </c>
      <c r="E54" s="119" t="str">
        <f>IFERROR(__xludf.DUMMYFUNCTION("""COMPUTED_VALUE"""),"Nighthawks")</f>
        <v>Nighthawks</v>
      </c>
      <c r="F54" s="119" t="str">
        <f>IFERROR(__xludf.DUMMYFUNCTION("""COMPUTED_VALUE"""),"Merciless Mob")</f>
        <v>Merciless Mob</v>
      </c>
      <c r="G54" s="107"/>
      <c r="H54" s="119" t="str">
        <f>IFERROR(__xludf.DUMMYFUNCTION("""COMPUTED_VALUE"""),"Folks")</f>
        <v>Folks</v>
      </c>
      <c r="I54" s="119" t="str">
        <f>IFERROR(__xludf.DUMMYFUNCTION("""COMPUTED_VALUE"""),"Blacksmiths")</f>
        <v>Blacksmiths</v>
      </c>
      <c r="J54" s="119" t="str">
        <f>IFERROR(__xludf.DUMMYFUNCTION("""COMPUTED_VALUE"""),"Berserkers")</f>
        <v>Berserkers</v>
      </c>
      <c r="K54" s="119" t="str">
        <f>IFERROR(__xludf.DUMMYFUNCTION("""COMPUTED_VALUE"""),"Supernova")</f>
        <v>Supernova</v>
      </c>
      <c r="L54" s="107"/>
      <c r="M54" s="119" t="str">
        <f>IFERROR(__xludf.DUMMYFUNCTION("""COMPUTED_VALUE"""),"Banshees")</f>
        <v>Banshees</v>
      </c>
      <c r="N54" s="119" t="str">
        <f>IFERROR(__xludf.DUMMYFUNCTION("""COMPUTED_VALUE"""),"Cannoli")</f>
        <v>Cannoli</v>
      </c>
      <c r="O54" s="119" t="str">
        <f>IFERROR(__xludf.DUMMYFUNCTION("""COMPUTED_VALUE"""),"Dread")</f>
        <v>Dread</v>
      </c>
      <c r="P54" s="119" t="str">
        <f>IFERROR(__xludf.DUMMYFUNCTION("""COMPUTED_VALUE"""),"Dogfight")</f>
        <v>Dogfight</v>
      </c>
      <c r="Q54" s="107"/>
      <c r="R54" s="119" t="str">
        <f>IFERROR(__xludf.DUMMYFUNCTION("""COMPUTED_VALUE"""),"Giraffes")</f>
        <v>Giraffes</v>
      </c>
      <c r="S54" s="119" t="str">
        <f>IFERROR(__xludf.DUMMYFUNCTION("""COMPUTED_VALUE"""),"Giant Squids")</f>
        <v>Giant Squids</v>
      </c>
      <c r="T54" s="119" t="str">
        <f>IFERROR(__xludf.DUMMYFUNCTION("""COMPUTED_VALUE"""),"Mages")</f>
        <v>Mages</v>
      </c>
      <c r="U54" s="119" t="str">
        <f>IFERROR(__xludf.DUMMYFUNCTION("""COMPUTED_VALUE"""),"Fer-de-Lance")</f>
        <v>Fer-de-Lance</v>
      </c>
      <c r="V54" s="143">
        <f>IFERROR(__xludf.DUMMYFUNCTION("""COMPUTED_VALUE"""),45964.0)</f>
        <v>45964</v>
      </c>
      <c r="W54" s="73"/>
    </row>
    <row r="55">
      <c r="A55" s="73"/>
      <c r="B55" s="55" t="str">
        <f>IFERROR(__xludf.DUMMYFUNCTION("""COMPUTED_VALUE"""),"Match Day 16")</f>
        <v>Match Day 16</v>
      </c>
      <c r="C55" s="118" t="str">
        <f>IFERROR(__xludf.DUMMYFUNCTION("""COMPUTED_VALUE"""),"Nighthawks")</f>
        <v>Nighthawks</v>
      </c>
      <c r="D55" s="119" t="str">
        <f>IFERROR(__xludf.DUMMYFUNCTION("""COMPUTED_VALUE"""),"Merciless Mob")</f>
        <v>Merciless Mob</v>
      </c>
      <c r="E55" s="119" t="str">
        <f>IFERROR(__xludf.DUMMYFUNCTION("""COMPUTED_VALUE"""),"Gouda Gangsters")</f>
        <v>Gouda Gangsters</v>
      </c>
      <c r="F55" s="119" t="str">
        <f>IFERROR(__xludf.DUMMYFUNCTION("""COMPUTED_VALUE"""),"White Collars")</f>
        <v>White Collars</v>
      </c>
      <c r="G55" s="107"/>
      <c r="H55" s="119" t="str">
        <f>IFERROR(__xludf.DUMMYFUNCTION("""COMPUTED_VALUE"""),"Berserkers")</f>
        <v>Berserkers</v>
      </c>
      <c r="I55" s="119" t="str">
        <f>IFERROR(__xludf.DUMMYFUNCTION("""COMPUTED_VALUE"""),"Supernova")</f>
        <v>Supernova</v>
      </c>
      <c r="J55" s="119" t="str">
        <f>IFERROR(__xludf.DUMMYFUNCTION("""COMPUTED_VALUE"""),"Folks")</f>
        <v>Folks</v>
      </c>
      <c r="K55" s="119" t="str">
        <f>IFERROR(__xludf.DUMMYFUNCTION("""COMPUTED_VALUE"""),"Blacksmiths")</f>
        <v>Blacksmiths</v>
      </c>
      <c r="L55" s="107"/>
      <c r="M55" s="119" t="str">
        <f>IFERROR(__xludf.DUMMYFUNCTION("""COMPUTED_VALUE"""),"Dread")</f>
        <v>Dread</v>
      </c>
      <c r="N55" s="119" t="str">
        <f>IFERROR(__xludf.DUMMYFUNCTION("""COMPUTED_VALUE"""),"Dogfight")</f>
        <v>Dogfight</v>
      </c>
      <c r="O55" s="119" t="str">
        <f>IFERROR(__xludf.DUMMYFUNCTION("""COMPUTED_VALUE"""),"Banshees")</f>
        <v>Banshees</v>
      </c>
      <c r="P55" s="119" t="str">
        <f>IFERROR(__xludf.DUMMYFUNCTION("""COMPUTED_VALUE"""),"Cannoli")</f>
        <v>Cannoli</v>
      </c>
      <c r="Q55" s="107"/>
      <c r="R55" s="119" t="str">
        <f>IFERROR(__xludf.DUMMYFUNCTION("""COMPUTED_VALUE"""),"Mages")</f>
        <v>Mages</v>
      </c>
      <c r="S55" s="119" t="str">
        <f>IFERROR(__xludf.DUMMYFUNCTION("""COMPUTED_VALUE"""),"Fer-de-Lance")</f>
        <v>Fer-de-Lance</v>
      </c>
      <c r="T55" s="119" t="str">
        <f>IFERROR(__xludf.DUMMYFUNCTION("""COMPUTED_VALUE"""),"Giraffes")</f>
        <v>Giraffes</v>
      </c>
      <c r="U55" s="119" t="str">
        <f>IFERROR(__xludf.DUMMYFUNCTION("""COMPUTED_VALUE"""),"Giant Squids")</f>
        <v>Giant Squids</v>
      </c>
      <c r="V55" s="143">
        <f>IFERROR(__xludf.DUMMYFUNCTION("""COMPUTED_VALUE"""),45966.0)</f>
        <v>45966</v>
      </c>
      <c r="W55" s="73"/>
    </row>
    <row r="56">
      <c r="A56" s="73"/>
      <c r="B56" s="141" t="str">
        <f>IFERROR(__xludf.DUMMYFUNCTION("""COMPUTED_VALUE"""),"Match Day 17")</f>
        <v>Match Day 17</v>
      </c>
      <c r="C56" s="144" t="str">
        <f>IFERROR(__xludf.DUMMYFUNCTION("""COMPUTED_VALUE"""),"Wild-Card (9:45 PM ET) / Quarterfinals (10:30 PM ET)")</f>
        <v>Wild-Card (9:45 PM ET) / Quarterfinals (10:30 PM ET)</v>
      </c>
      <c r="D56" s="27"/>
      <c r="E56" s="27"/>
      <c r="F56" s="27"/>
      <c r="G56" s="27"/>
      <c r="H56" s="27"/>
      <c r="I56" s="27"/>
      <c r="J56" s="27"/>
      <c r="K56" s="90"/>
      <c r="L56" s="145"/>
      <c r="M56" s="144" t="str">
        <f>IFERROR(__xludf.DUMMYFUNCTION("""COMPUTED_VALUE"""),"Wild-Card (9:45 PM ET) / Quarterfinals (10:30 PM ET)")</f>
        <v>Wild-Card (9:45 PM ET) / Quarterfinals (10:30 PM ET)</v>
      </c>
      <c r="N56" s="27"/>
      <c r="O56" s="27"/>
      <c r="P56" s="27"/>
      <c r="Q56" s="27"/>
      <c r="R56" s="27"/>
      <c r="S56" s="27"/>
      <c r="T56" s="27"/>
      <c r="U56" s="90"/>
      <c r="V56" s="143">
        <f>IFERROR(__xludf.DUMMYFUNCTION("""COMPUTED_VALUE"""),45971.0)</f>
        <v>45971</v>
      </c>
      <c r="W56" s="73"/>
    </row>
    <row r="57">
      <c r="A57" s="73"/>
      <c r="B57" s="141" t="str">
        <f>IFERROR(__xludf.DUMMYFUNCTION("""COMPUTED_VALUE"""),"Match Day 18")</f>
        <v>Match Day 18</v>
      </c>
      <c r="C57" s="144" t="str">
        <f>IFERROR(__xludf.DUMMYFUNCTION("""COMPUTED_VALUE"""),"Semifinals (10:00 PM ET)")</f>
        <v>Semifinals (10:00 PM ET)</v>
      </c>
      <c r="D57" s="27"/>
      <c r="E57" s="27"/>
      <c r="F57" s="27"/>
      <c r="G57" s="27"/>
      <c r="H57" s="27"/>
      <c r="I57" s="27"/>
      <c r="J57" s="27"/>
      <c r="K57" s="90"/>
      <c r="L57" s="145"/>
      <c r="M57" s="144" t="str">
        <f>IFERROR(__xludf.DUMMYFUNCTION("""COMPUTED_VALUE"""),"Semifinals (10:00 PM ET)")</f>
        <v>Semifinals (10:00 PM ET)</v>
      </c>
      <c r="N57" s="27"/>
      <c r="O57" s="27"/>
      <c r="P57" s="27"/>
      <c r="Q57" s="27"/>
      <c r="R57" s="27"/>
      <c r="S57" s="27"/>
      <c r="T57" s="27"/>
      <c r="U57" s="90"/>
      <c r="V57" s="143">
        <f>IFERROR(__xludf.DUMMYFUNCTION("""COMPUTED_VALUE"""),45973.0)</f>
        <v>45973</v>
      </c>
      <c r="W57" s="73"/>
    </row>
    <row r="58">
      <c r="A58" s="73"/>
      <c r="B58" s="141" t="str">
        <f>IFERROR(__xludf.DUMMYFUNCTION("""COMPUTED_VALUE"""),"Match Day 19")</f>
        <v>Match Day 19</v>
      </c>
      <c r="C58" s="144" t="str">
        <f>IFERROR(__xludf.DUMMYFUNCTION("""COMPUTED_VALUE"""),"Finals (10:30 PM ET)")</f>
        <v>Finals (10:30 PM ET)</v>
      </c>
      <c r="D58" s="27"/>
      <c r="E58" s="27"/>
      <c r="F58" s="27"/>
      <c r="G58" s="27"/>
      <c r="H58" s="27"/>
      <c r="I58" s="27"/>
      <c r="J58" s="27"/>
      <c r="K58" s="90"/>
      <c r="L58" s="145"/>
      <c r="M58" s="144" t="str">
        <f>IFERROR(__xludf.DUMMYFUNCTION("""COMPUTED_VALUE"""),"Finals (10:30 PM ET)")</f>
        <v>Finals (10:30 PM ET)</v>
      </c>
      <c r="N58" s="27"/>
      <c r="O58" s="27"/>
      <c r="P58" s="27"/>
      <c r="Q58" s="27"/>
      <c r="R58" s="27"/>
      <c r="S58" s="27"/>
      <c r="T58" s="27"/>
      <c r="U58" s="90"/>
      <c r="V58" s="143">
        <f>IFERROR(__xludf.DUMMYFUNCTION("""COMPUTED_VALUE"""),45978.0)</f>
        <v>45978</v>
      </c>
      <c r="W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</row>
  </sheetData>
  <mergeCells count="24">
    <mergeCell ref="C2:U2"/>
    <mergeCell ref="H3:P3"/>
    <mergeCell ref="H4:P5"/>
    <mergeCell ref="C7:F7"/>
    <mergeCell ref="H7:K7"/>
    <mergeCell ref="M7:P7"/>
    <mergeCell ref="R7:U7"/>
    <mergeCell ref="C28:K28"/>
    <mergeCell ref="M28:U28"/>
    <mergeCell ref="C29:K29"/>
    <mergeCell ref="M29:U29"/>
    <mergeCell ref="C30:K30"/>
    <mergeCell ref="M30:U30"/>
    <mergeCell ref="I33:O34"/>
    <mergeCell ref="C57:K57"/>
    <mergeCell ref="C58:K58"/>
    <mergeCell ref="C35:F35"/>
    <mergeCell ref="H35:K35"/>
    <mergeCell ref="M35:P35"/>
    <mergeCell ref="R35:U35"/>
    <mergeCell ref="C56:K56"/>
    <mergeCell ref="M56:U56"/>
    <mergeCell ref="M57:U57"/>
    <mergeCell ref="M58:U5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.88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3" width="3.75"/>
  </cols>
  <sheetData>
    <row r="1">
      <c r="A1" s="127" t="str">
        <f>IFERROR(__xludf.DUMMYFUNCTION("IMPORTRANGE(Imports!B1, ""Rival!A:W"")"),"sc")</f>
        <v>sc</v>
      </c>
      <c r="B1" s="73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73"/>
      <c r="W1" s="73"/>
    </row>
    <row r="2">
      <c r="A2" s="73"/>
      <c r="B2" s="73"/>
      <c r="C2" s="147" t="str">
        <f>IFERROR(__xludf.DUMMYFUNCTION("""COMPUTED_VALUE"""),"Rival Schedule")</f>
        <v>Rival Schedule</v>
      </c>
      <c r="V2" s="73"/>
      <c r="W2" s="73"/>
    </row>
    <row r="3">
      <c r="A3" s="128"/>
      <c r="B3" s="128"/>
      <c r="C3" s="130"/>
      <c r="D3" s="130"/>
      <c r="E3" s="130"/>
      <c r="F3" s="130"/>
      <c r="G3" s="130"/>
      <c r="H3" s="131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Q3" s="130"/>
      <c r="R3" s="130"/>
      <c r="S3" s="130"/>
      <c r="T3" s="130"/>
      <c r="U3" s="130"/>
      <c r="V3" s="128"/>
      <c r="W3" s="128"/>
    </row>
    <row r="4">
      <c r="A4" s="73"/>
      <c r="B4" s="132" t="str">
        <f>IFERROR(__xludf.DUMMYFUNCTION("""COMPUTED_VALUE"""),"Preseason")</f>
        <v>Preseason</v>
      </c>
      <c r="C4" s="84"/>
      <c r="D4" s="73"/>
      <c r="E4" s="73"/>
      <c r="F4" s="73"/>
      <c r="G4" s="131"/>
      <c r="H4" s="95" t="str">
        <f>IFERROR(__xludf.DUMMYFUNCTION("""COMPUTED_VALUE"""),"Solar Conference")</f>
        <v>Solar Conference</v>
      </c>
      <c r="Q4" s="73"/>
      <c r="R4" s="73"/>
      <c r="S4" s="73"/>
      <c r="T4" s="133"/>
      <c r="U4" s="133"/>
      <c r="V4" s="132" t="str">
        <f>IFERROR(__xludf.DUMMYFUNCTION("""COMPUTED_VALUE"""),"Preseason")</f>
        <v>Preseason</v>
      </c>
      <c r="W4" s="73"/>
    </row>
    <row r="5" ht="15.75" customHeight="1">
      <c r="A5" s="73"/>
      <c r="B5" s="96" t="str">
        <f>IFERROR(__xludf.DUMMYFUNCTION("""COMPUTED_VALUE"""),"In Division")</f>
        <v>In Division</v>
      </c>
      <c r="C5" s="134"/>
      <c r="D5" s="134"/>
      <c r="E5" s="134"/>
      <c r="F5" s="134"/>
      <c r="G5" s="134"/>
      <c r="Q5" s="134"/>
      <c r="R5" s="134"/>
      <c r="S5" s="134"/>
      <c r="T5" s="73"/>
      <c r="U5" s="73"/>
      <c r="V5" s="96" t="str">
        <f>IFERROR(__xludf.DUMMYFUNCTION("""COMPUTED_VALUE"""),"In Division")</f>
        <v>In Division</v>
      </c>
      <c r="W5" s="73"/>
    </row>
    <row r="6" ht="15.75" customHeight="1">
      <c r="A6" s="73"/>
      <c r="B6" s="78" t="str">
        <f>IFERROR(__xludf.DUMMYFUNCTION("""COMPUTED_VALUE"""),"In Conference")</f>
        <v>In Conference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78" t="str">
        <f>IFERROR(__xludf.DUMMYFUNCTION("""COMPUTED_VALUE"""),"In Conference")</f>
        <v>In Conference</v>
      </c>
      <c r="W6" s="73"/>
    </row>
    <row r="7" ht="15.75" customHeight="1">
      <c r="A7" s="73"/>
      <c r="B7" s="97" t="str">
        <f>IFERROR(__xludf.DUMMYFUNCTION("""COMPUTED_VALUE"""),"Out of Conference")</f>
        <v>Out of Conference</v>
      </c>
      <c r="C7" s="135" t="str">
        <f>IFERROR(__xludf.DUMMYFUNCTION("""COMPUTED_VALUE"""),"Cloud Division")</f>
        <v>Cloud Division</v>
      </c>
      <c r="G7" s="136"/>
      <c r="H7" s="137" t="str">
        <f>IFERROR(__xludf.DUMMYFUNCTION("""COMPUTED_VALUE"""),"Ember Division")</f>
        <v>Ember Division</v>
      </c>
      <c r="L7" s="134"/>
      <c r="M7" s="138" t="str">
        <f>IFERROR(__xludf.DUMMYFUNCTION("""COMPUTED_VALUE"""),"Mountain Division")</f>
        <v>Mountain Division</v>
      </c>
      <c r="Q7" s="136"/>
      <c r="R7" s="139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IFERROR(__xludf.DUMMYFUNCTION("""COMPUTED_VALUE"""),"Ocelots")</f>
        <v>Ocelots</v>
      </c>
      <c r="D8" s="103" t="str">
        <f>IFERROR(__xludf.DUMMYFUNCTION("""COMPUTED_VALUE"""),"Phoenix")</f>
        <v>Phoenix</v>
      </c>
      <c r="E8" s="103" t="str">
        <f>IFERROR(__xludf.DUMMYFUNCTION("""COMPUTED_VALUE"""),"Black Ice")</f>
        <v>Black Ice</v>
      </c>
      <c r="F8" s="103" t="str">
        <f>IFERROR(__xludf.DUMMYFUNCTION("""COMPUTED_VALUE"""),"Polar Ice")</f>
        <v>Polar Ice</v>
      </c>
      <c r="G8" s="81"/>
      <c r="H8" s="103" t="str">
        <f>IFERROR(__xludf.DUMMYFUNCTION("""COMPUTED_VALUE"""),"Howlers")</f>
        <v>Howlers</v>
      </c>
      <c r="I8" s="103" t="str">
        <f>IFERROR(__xludf.DUMMYFUNCTION("""COMPUTED_VALUE"""),"Lacuna")</f>
        <v>Lacuna</v>
      </c>
      <c r="J8" s="103" t="str">
        <f>IFERROR(__xludf.DUMMYFUNCTION("""COMPUTED_VALUE"""),"Primo")</f>
        <v>Primo</v>
      </c>
      <c r="K8" s="103" t="str">
        <f>IFERROR(__xludf.DUMMYFUNCTION("""COMPUTED_VALUE"""),"Liars")</f>
        <v>Liars</v>
      </c>
      <c r="L8" s="103"/>
      <c r="M8" s="103" t="str">
        <f>IFERROR(__xludf.DUMMYFUNCTION("""COMPUTED_VALUE"""),"Hammerheads")</f>
        <v>Hammerheads</v>
      </c>
      <c r="N8" s="103" t="str">
        <f>IFERROR(__xludf.DUMMYFUNCTION("""COMPUTED_VALUE"""),"Kitsune")</f>
        <v>Kitsune</v>
      </c>
      <c r="O8" s="103" t="str">
        <f>IFERROR(__xludf.DUMMYFUNCTION("""COMPUTED_VALUE"""),"Wind")</f>
        <v>Wind</v>
      </c>
      <c r="P8" s="103" t="str">
        <f>IFERROR(__xludf.DUMMYFUNCTION("""COMPUTED_VALUE"""),"Hue Heroes")</f>
        <v>Hue Heroes</v>
      </c>
      <c r="Q8" s="103"/>
      <c r="R8" s="103" t="str">
        <f>IFERROR(__xludf.DUMMYFUNCTION("""COMPUTED_VALUE"""),"Centuriones")</f>
        <v>Centuriones</v>
      </c>
      <c r="S8" s="103" t="str">
        <f>IFERROR(__xludf.DUMMYFUNCTION("""COMPUTED_VALUE"""),"Polar Bears")</f>
        <v>Polar Bears</v>
      </c>
      <c r="T8" s="103" t="str">
        <f>IFERROR(__xludf.DUMMYFUNCTION("""COMPUTED_VALUE"""),"Dracos")</f>
        <v>Dracos</v>
      </c>
      <c r="U8" s="81" t="str">
        <f>IFERROR(__xludf.DUMMYFUNCTION("""COMPUTED_VALUE"""),"Purrgatory")</f>
        <v>Purrgatory</v>
      </c>
      <c r="V8" s="80" t="str">
        <f>IFERROR(__xludf.DUMMYFUNCTION("""COMPUTED_VALUE"""),"Playoffs")</f>
        <v>Playoffs</v>
      </c>
      <c r="W8" s="73"/>
    </row>
    <row r="9">
      <c r="A9" s="73"/>
      <c r="B9" s="141" t="str">
        <f>IFERROR(__xludf.DUMMYFUNCTION("""COMPUTED_VALUE"""),"Preseason 1")</f>
        <v>Preseason 1</v>
      </c>
      <c r="C9" s="82" t="str">
        <f>IFERROR(__xludf.DUMMYFUNCTION("""COMPUTED_VALUE"""),"Phoenix")</f>
        <v>Phoenix</v>
      </c>
      <c r="D9" s="83" t="str">
        <f>IFERROR(__xludf.DUMMYFUNCTION("""COMPUTED_VALUE"""),"Ocelots")</f>
        <v>Ocelots</v>
      </c>
      <c r="E9" s="83" t="str">
        <f>IFERROR(__xludf.DUMMYFUNCTION("""COMPUTED_VALUE"""),"Polar Ice")</f>
        <v>Polar Ice</v>
      </c>
      <c r="F9" s="83" t="str">
        <f>IFERROR(__xludf.DUMMYFUNCTION("""COMPUTED_VALUE"""),"Black Ice")</f>
        <v>Black Ice</v>
      </c>
      <c r="G9" s="142"/>
      <c r="H9" s="83" t="str">
        <f>IFERROR(__xludf.DUMMYFUNCTION("""COMPUTED_VALUE"""),"Lacuna")</f>
        <v>Lacuna</v>
      </c>
      <c r="I9" s="83" t="str">
        <f>IFERROR(__xludf.DUMMYFUNCTION("""COMPUTED_VALUE"""),"Howlers")</f>
        <v>Howlers</v>
      </c>
      <c r="J9" s="83" t="str">
        <f>IFERROR(__xludf.DUMMYFUNCTION("""COMPUTED_VALUE"""),"Liars")</f>
        <v>Liars</v>
      </c>
      <c r="K9" s="83" t="str">
        <f>IFERROR(__xludf.DUMMYFUNCTION("""COMPUTED_VALUE"""),"Primo")</f>
        <v>Primo</v>
      </c>
      <c r="L9" s="142"/>
      <c r="M9" s="83" t="str">
        <f>IFERROR(__xludf.DUMMYFUNCTION("""COMPUTED_VALUE"""),"Kitsune")</f>
        <v>Kitsune</v>
      </c>
      <c r="N9" s="83" t="str">
        <f>IFERROR(__xludf.DUMMYFUNCTION("""COMPUTED_VALUE"""),"Hammerheads")</f>
        <v>Hammerheads</v>
      </c>
      <c r="O9" s="83" t="str">
        <f>IFERROR(__xludf.DUMMYFUNCTION("""COMPUTED_VALUE"""),"Hue Heroes")</f>
        <v>Hue Heroes</v>
      </c>
      <c r="P9" s="83" t="str">
        <f>IFERROR(__xludf.DUMMYFUNCTION("""COMPUTED_VALUE"""),"Wind")</f>
        <v>Wind</v>
      </c>
      <c r="Q9" s="142"/>
      <c r="R9" s="83" t="str">
        <f>IFERROR(__xludf.DUMMYFUNCTION("""COMPUTED_VALUE"""),"Polar Bears")</f>
        <v>Polar Bears</v>
      </c>
      <c r="S9" s="83" t="str">
        <f>IFERROR(__xludf.DUMMYFUNCTION("""COMPUTED_VALUE"""),"Centuriones")</f>
        <v>Centuriones</v>
      </c>
      <c r="T9" s="83" t="str">
        <f>IFERROR(__xludf.DUMMYFUNCTION("""COMPUTED_VALUE"""),"Purrgatory")</f>
        <v>Purrgatory</v>
      </c>
      <c r="U9" s="83" t="str">
        <f>IFERROR(__xludf.DUMMYFUNCTION("""COMPUTED_VALUE"""),"Dracos")</f>
        <v>Dracos</v>
      </c>
      <c r="V9" s="143">
        <f>IFERROR(__xludf.DUMMYFUNCTION("""COMPUTED_VALUE"""),45896.0)</f>
        <v>45896</v>
      </c>
      <c r="W9" s="84"/>
    </row>
    <row r="10">
      <c r="A10" s="73"/>
      <c r="B10" s="141" t="str">
        <f>IFERROR(__xludf.DUMMYFUNCTION("""COMPUTED_VALUE"""),"Preseason 2")</f>
        <v>Preseason 2</v>
      </c>
      <c r="C10" s="82" t="str">
        <f>IFERROR(__xludf.DUMMYFUNCTION("""COMPUTED_VALUE"""),"Dracos")</f>
        <v>Dracos</v>
      </c>
      <c r="D10" s="110" t="str">
        <f>IFERROR(__xludf.DUMMYFUNCTION("""COMPUTED_VALUE"""),"Purrgatory")</f>
        <v>Purrgatory</v>
      </c>
      <c r="E10" s="110" t="str">
        <f>IFERROR(__xludf.DUMMYFUNCTION("""COMPUTED_VALUE"""),"Centuriones")</f>
        <v>Centuriones</v>
      </c>
      <c r="F10" s="110" t="str">
        <f>IFERROR(__xludf.DUMMYFUNCTION("""COMPUTED_VALUE"""),"Polar Bears")</f>
        <v>Polar Bears</v>
      </c>
      <c r="G10" s="133"/>
      <c r="H10" s="111" t="str">
        <f>IFERROR(__xludf.DUMMYFUNCTION("""COMPUTED_VALUE"""),"Wind")</f>
        <v>Wind</v>
      </c>
      <c r="I10" s="110" t="str">
        <f>IFERROR(__xludf.DUMMYFUNCTION("""COMPUTED_VALUE"""),"Hue Heroes")</f>
        <v>Hue Heroes</v>
      </c>
      <c r="J10" s="110" t="str">
        <f>IFERROR(__xludf.DUMMYFUNCTION("""COMPUTED_VALUE"""),"Hammerheads")</f>
        <v>Hammerheads</v>
      </c>
      <c r="K10" s="110" t="str">
        <f>IFERROR(__xludf.DUMMYFUNCTION("""COMPUTED_VALUE"""),"Kitsune")</f>
        <v>Kitsune</v>
      </c>
      <c r="L10" s="133"/>
      <c r="M10" s="111" t="str">
        <f>IFERROR(__xludf.DUMMYFUNCTION("""COMPUTED_VALUE"""),"Primo")</f>
        <v>Primo</v>
      </c>
      <c r="N10" s="110" t="str">
        <f>IFERROR(__xludf.DUMMYFUNCTION("""COMPUTED_VALUE"""),"Liars")</f>
        <v>Liars</v>
      </c>
      <c r="O10" s="110" t="str">
        <f>IFERROR(__xludf.DUMMYFUNCTION("""COMPUTED_VALUE"""),"Howlers")</f>
        <v>Howlers</v>
      </c>
      <c r="P10" s="110" t="str">
        <f>IFERROR(__xludf.DUMMYFUNCTION("""COMPUTED_VALUE"""),"Lacuna")</f>
        <v>Lacuna</v>
      </c>
      <c r="Q10" s="133"/>
      <c r="R10" s="111" t="str">
        <f>IFERROR(__xludf.DUMMYFUNCTION("""COMPUTED_VALUE"""),"Black Ice")</f>
        <v>Black Ice</v>
      </c>
      <c r="S10" s="110" t="str">
        <f>IFERROR(__xludf.DUMMYFUNCTION("""COMPUTED_VALUE"""),"Polar Ice")</f>
        <v>Polar Ice</v>
      </c>
      <c r="T10" s="110" t="str">
        <f>IFERROR(__xludf.DUMMYFUNCTION("""COMPUTED_VALUE"""),"Ocelots")</f>
        <v>Ocelots</v>
      </c>
      <c r="U10" s="110" t="str">
        <f>IFERROR(__xludf.DUMMYFUNCTION("""COMPUTED_VALUE"""),"Phoenix")</f>
        <v>Phoenix</v>
      </c>
      <c r="V10" s="143">
        <f>IFERROR(__xludf.DUMMYFUNCTION("""COMPUTED_VALUE"""),45903.0)</f>
        <v>45903</v>
      </c>
      <c r="W10" s="84"/>
    </row>
    <row r="11">
      <c r="A11" s="73"/>
      <c r="B11" s="141" t="str">
        <f>IFERROR(__xludf.DUMMYFUNCTION("""COMPUTED_VALUE"""),"Preseason 3")</f>
        <v>Preseason 3</v>
      </c>
      <c r="C11" s="82" t="str">
        <f>IFERROR(__xludf.DUMMYFUNCTION("""COMPUTED_VALUE"""),"Heavy Metal")</f>
        <v>Heavy Metal</v>
      </c>
      <c r="D11" s="83" t="str">
        <f>IFERROR(__xludf.DUMMYFUNCTION("""COMPUTED_VALUE"""),"Mining Legion")</f>
        <v>Mining Legion</v>
      </c>
      <c r="E11" s="83" t="str">
        <f>IFERROR(__xludf.DUMMYFUNCTION("""COMPUTED_VALUE"""),"Quasars")</f>
        <v>Quasars</v>
      </c>
      <c r="F11" s="83" t="str">
        <f>IFERROR(__xludf.DUMMYFUNCTION("""COMPUTED_VALUE"""),"Samurai")</f>
        <v>Samurai</v>
      </c>
      <c r="G11" s="133"/>
      <c r="H11" s="82" t="str">
        <f>IFERROR(__xludf.DUMMYFUNCTION("""COMPUTED_VALUE"""),"Asiago Arsonists")</f>
        <v>Asiago Arsonists</v>
      </c>
      <c r="I11" s="83" t="str">
        <f>IFERROR(__xludf.DUMMYFUNCTION("""COMPUTED_VALUE"""),"Tax Evaders")</f>
        <v>Tax Evaders</v>
      </c>
      <c r="J11" s="83" t="str">
        <f>IFERROR(__xludf.DUMMYFUNCTION("""COMPUTED_VALUE"""),"Ruthless Racket")</f>
        <v>Ruthless Racket</v>
      </c>
      <c r="K11" s="83" t="str">
        <f>IFERROR(__xludf.DUMMYFUNCTION("""COMPUTED_VALUE"""),"Lightning")</f>
        <v>Lightning</v>
      </c>
      <c r="L11" s="133"/>
      <c r="M11" s="82" t="str">
        <f>IFERROR(__xludf.DUMMYFUNCTION("""COMPUTED_VALUE"""),"Hippos")</f>
        <v>Hippos</v>
      </c>
      <c r="N11" s="83" t="str">
        <f>IFERROR(__xludf.DUMMYFUNCTION("""COMPUTED_VALUE"""),"Barracudas")</f>
        <v>Barracudas</v>
      </c>
      <c r="O11" s="83" t="str">
        <f>IFERROR(__xludf.DUMMYFUNCTION("""COMPUTED_VALUE"""),"Gaboons")</f>
        <v>Gaboons</v>
      </c>
      <c r="P11" s="83" t="str">
        <f>IFERROR(__xludf.DUMMYFUNCTION("""COMPUTED_VALUE"""),"Guards")</f>
        <v>Guards</v>
      </c>
      <c r="Q11" s="133"/>
      <c r="R11" s="82" t="str">
        <f>IFERROR(__xludf.DUMMYFUNCTION("""COMPUTED_VALUE"""),"Phantoms")</f>
        <v>Phantoms</v>
      </c>
      <c r="S11" s="83" t="str">
        <f>IFERROR(__xludf.DUMMYFUNCTION("""COMPUTED_VALUE"""),"Hot Wings")</f>
        <v>Hot Wings</v>
      </c>
      <c r="T11" s="83" t="str">
        <f>IFERROR(__xludf.DUMMYFUNCTION("""COMPUTED_VALUE"""),"Scramjets")</f>
        <v>Scramjets</v>
      </c>
      <c r="U11" s="83" t="str">
        <f>IFERROR(__xludf.DUMMYFUNCTION("""COMPUTED_VALUE"""),"Nightfall")</f>
        <v>Nightfall</v>
      </c>
      <c r="V11" s="143">
        <f>IFERROR(__xludf.DUMMYFUNCTION("""COMPUTED_VALUE"""),45908.0)</f>
        <v>45908</v>
      </c>
      <c r="W11" s="84"/>
    </row>
    <row r="12">
      <c r="A12" s="73"/>
      <c r="B12" s="55" t="str">
        <f>IFERROR(__xludf.DUMMYFUNCTION("""COMPUTED_VALUE"""),"Match Day 1")</f>
        <v>Match Day 1</v>
      </c>
      <c r="C12" s="85" t="str">
        <f>IFERROR(__xludf.DUMMYFUNCTION("""COMPUTED_VALUE"""),"Lacuna")</f>
        <v>Lacuna</v>
      </c>
      <c r="D12" s="86" t="str">
        <f>IFERROR(__xludf.DUMMYFUNCTION("""COMPUTED_VALUE"""),"Howlers")</f>
        <v>Howlers</v>
      </c>
      <c r="E12" s="86" t="str">
        <f>IFERROR(__xludf.DUMMYFUNCTION("""COMPUTED_VALUE"""),"Liars")</f>
        <v>Liars</v>
      </c>
      <c r="F12" s="86" t="str">
        <f>IFERROR(__xludf.DUMMYFUNCTION("""COMPUTED_VALUE"""),"Primo")</f>
        <v>Primo</v>
      </c>
      <c r="G12" s="114"/>
      <c r="H12" s="86" t="str">
        <f>IFERROR(__xludf.DUMMYFUNCTION("""COMPUTED_VALUE"""),"Phoenix")</f>
        <v>Phoenix</v>
      </c>
      <c r="I12" s="86" t="str">
        <f>IFERROR(__xludf.DUMMYFUNCTION("""COMPUTED_VALUE"""),"Ocelots")</f>
        <v>Ocelots</v>
      </c>
      <c r="J12" s="86" t="str">
        <f>IFERROR(__xludf.DUMMYFUNCTION("""COMPUTED_VALUE"""),"Polar Ice")</f>
        <v>Polar Ice</v>
      </c>
      <c r="K12" s="86" t="str">
        <f>IFERROR(__xludf.DUMMYFUNCTION("""COMPUTED_VALUE"""),"Black Ice")</f>
        <v>Black Ice</v>
      </c>
      <c r="L12" s="114"/>
      <c r="M12" s="86" t="str">
        <f>IFERROR(__xludf.DUMMYFUNCTION("""COMPUTED_VALUE"""),"Polar Bears")</f>
        <v>Polar Bears</v>
      </c>
      <c r="N12" s="86" t="str">
        <f>IFERROR(__xludf.DUMMYFUNCTION("""COMPUTED_VALUE"""),"Centuriones")</f>
        <v>Centuriones</v>
      </c>
      <c r="O12" s="86" t="str">
        <f>IFERROR(__xludf.DUMMYFUNCTION("""COMPUTED_VALUE"""),"Purrgatory")</f>
        <v>Purrgatory</v>
      </c>
      <c r="P12" s="86" t="str">
        <f>IFERROR(__xludf.DUMMYFUNCTION("""COMPUTED_VALUE"""),"Dracos")</f>
        <v>Dracos</v>
      </c>
      <c r="Q12" s="114"/>
      <c r="R12" s="86" t="str">
        <f>IFERROR(__xludf.DUMMYFUNCTION("""COMPUTED_VALUE"""),"Kitsune")</f>
        <v>Kitsune</v>
      </c>
      <c r="S12" s="86" t="str">
        <f>IFERROR(__xludf.DUMMYFUNCTION("""COMPUTED_VALUE"""),"Hammerheads")</f>
        <v>Hammerheads</v>
      </c>
      <c r="T12" s="86" t="str">
        <f>IFERROR(__xludf.DUMMYFUNCTION("""COMPUTED_VALUE"""),"Hue Heroes")</f>
        <v>Hue Heroes</v>
      </c>
      <c r="U12" s="86" t="str">
        <f>IFERROR(__xludf.DUMMYFUNCTION("""COMPUTED_VALUE"""),"Wind")</f>
        <v>Wind</v>
      </c>
      <c r="V12" s="143">
        <f>IFERROR(__xludf.DUMMYFUNCTION("""COMPUTED_VALUE"""),45910.0)</f>
        <v>45910</v>
      </c>
      <c r="W12" s="84"/>
    </row>
    <row r="13">
      <c r="A13" s="73"/>
      <c r="B13" s="55" t="str">
        <f>IFERROR(__xludf.DUMMYFUNCTION("""COMPUTED_VALUE"""),"Match Day 2")</f>
        <v>Match Day 2</v>
      </c>
      <c r="C13" s="87" t="str">
        <f>IFERROR(__xludf.DUMMYFUNCTION("""COMPUTED_VALUE"""),"Centuriones")</f>
        <v>Centuriones</v>
      </c>
      <c r="D13" s="88" t="str">
        <f>IFERROR(__xludf.DUMMYFUNCTION("""COMPUTED_VALUE"""),"Polar Bears")</f>
        <v>Polar Bears</v>
      </c>
      <c r="E13" s="88" t="str">
        <f>IFERROR(__xludf.DUMMYFUNCTION("""COMPUTED_VALUE"""),"Dracos")</f>
        <v>Dracos</v>
      </c>
      <c r="F13" s="88" t="str">
        <f>IFERROR(__xludf.DUMMYFUNCTION("""COMPUTED_VALUE"""),"Purrgatory")</f>
        <v>Purrgatory</v>
      </c>
      <c r="G13" s="107"/>
      <c r="H13" s="88" t="str">
        <f>IFERROR(__xludf.DUMMYFUNCTION("""COMPUTED_VALUE"""),"Hammerheads")</f>
        <v>Hammerheads</v>
      </c>
      <c r="I13" s="88" t="str">
        <f>IFERROR(__xludf.DUMMYFUNCTION("""COMPUTED_VALUE"""),"Kitsune")</f>
        <v>Kitsune</v>
      </c>
      <c r="J13" s="88" t="str">
        <f>IFERROR(__xludf.DUMMYFUNCTION("""COMPUTED_VALUE"""),"Wind")</f>
        <v>Wind</v>
      </c>
      <c r="K13" s="88" t="str">
        <f>IFERROR(__xludf.DUMMYFUNCTION("""COMPUTED_VALUE"""),"Hue Heroes")</f>
        <v>Hue Heroes</v>
      </c>
      <c r="L13" s="107"/>
      <c r="M13" s="88" t="str">
        <f>IFERROR(__xludf.DUMMYFUNCTION("""COMPUTED_VALUE"""),"Howlers")</f>
        <v>Howlers</v>
      </c>
      <c r="N13" s="88" t="str">
        <f>IFERROR(__xludf.DUMMYFUNCTION("""COMPUTED_VALUE"""),"Lacuna")</f>
        <v>Lacuna</v>
      </c>
      <c r="O13" s="88" t="str">
        <f>IFERROR(__xludf.DUMMYFUNCTION("""COMPUTED_VALUE"""),"Primo")</f>
        <v>Primo</v>
      </c>
      <c r="P13" s="88" t="str">
        <f>IFERROR(__xludf.DUMMYFUNCTION("""COMPUTED_VALUE"""),"Liars")</f>
        <v>Liars</v>
      </c>
      <c r="Q13" s="107"/>
      <c r="R13" s="88" t="str">
        <f>IFERROR(__xludf.DUMMYFUNCTION("""COMPUTED_VALUE"""),"Ocelots")</f>
        <v>Ocelots</v>
      </c>
      <c r="S13" s="88" t="str">
        <f>IFERROR(__xludf.DUMMYFUNCTION("""COMPUTED_VALUE"""),"Phoenix")</f>
        <v>Phoenix</v>
      </c>
      <c r="T13" s="88" t="str">
        <f>IFERROR(__xludf.DUMMYFUNCTION("""COMPUTED_VALUE"""),"Black Ice")</f>
        <v>Black Ice</v>
      </c>
      <c r="U13" s="88" t="str">
        <f>IFERROR(__xludf.DUMMYFUNCTION("""COMPUTED_VALUE"""),"Polar Ice")</f>
        <v>Polar Ice</v>
      </c>
      <c r="V13" s="143">
        <f>IFERROR(__xludf.DUMMYFUNCTION("""COMPUTED_VALUE"""),45915.0)</f>
        <v>45915</v>
      </c>
      <c r="W13" s="7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IFERROR(__xludf.DUMMYFUNCTION("""COMPUTED_VALUE"""),"Black Ice")</f>
        <v>Black Ice</v>
      </c>
      <c r="D14" s="119" t="str">
        <f>IFERROR(__xludf.DUMMYFUNCTION("""COMPUTED_VALUE"""),"Polar Ice")</f>
        <v>Polar Ice</v>
      </c>
      <c r="E14" s="119" t="str">
        <f>IFERROR(__xludf.DUMMYFUNCTION("""COMPUTED_VALUE"""),"Ocelots")</f>
        <v>Ocelots</v>
      </c>
      <c r="F14" s="119" t="str">
        <f>IFERROR(__xludf.DUMMYFUNCTION("""COMPUTED_VALUE"""),"Phoenix")</f>
        <v>Phoenix</v>
      </c>
      <c r="G14" s="107"/>
      <c r="H14" s="119" t="str">
        <f>IFERROR(__xludf.DUMMYFUNCTION("""COMPUTED_VALUE"""),"Primo")</f>
        <v>Primo</v>
      </c>
      <c r="I14" s="119" t="str">
        <f>IFERROR(__xludf.DUMMYFUNCTION("""COMPUTED_VALUE"""),"Liars")</f>
        <v>Liars</v>
      </c>
      <c r="J14" s="119" t="str">
        <f>IFERROR(__xludf.DUMMYFUNCTION("""COMPUTED_VALUE"""),"Howlers")</f>
        <v>Howlers</v>
      </c>
      <c r="K14" s="119" t="str">
        <f>IFERROR(__xludf.DUMMYFUNCTION("""COMPUTED_VALUE"""),"Lacuna")</f>
        <v>Lacuna</v>
      </c>
      <c r="L14" s="107"/>
      <c r="M14" s="119" t="str">
        <f>IFERROR(__xludf.DUMMYFUNCTION("""COMPUTED_VALUE"""),"Wind")</f>
        <v>Wind</v>
      </c>
      <c r="N14" s="119" t="str">
        <f>IFERROR(__xludf.DUMMYFUNCTION("""COMPUTED_VALUE"""),"Hue Heroes")</f>
        <v>Hue Heroes</v>
      </c>
      <c r="O14" s="119" t="str">
        <f>IFERROR(__xludf.DUMMYFUNCTION("""COMPUTED_VALUE"""),"Hammerheads")</f>
        <v>Hammerheads</v>
      </c>
      <c r="P14" s="119" t="str">
        <f>IFERROR(__xludf.DUMMYFUNCTION("""COMPUTED_VALUE"""),"Kitsune")</f>
        <v>Kitsune</v>
      </c>
      <c r="Q14" s="107"/>
      <c r="R14" s="119" t="str">
        <f>IFERROR(__xludf.DUMMYFUNCTION("""COMPUTED_VALUE"""),"Dracos")</f>
        <v>Dracos</v>
      </c>
      <c r="S14" s="119" t="str">
        <f>IFERROR(__xludf.DUMMYFUNCTION("""COMPUTED_VALUE"""),"Purrgatory")</f>
        <v>Purrgatory</v>
      </c>
      <c r="T14" s="119" t="str">
        <f>IFERROR(__xludf.DUMMYFUNCTION("""COMPUTED_VALUE"""),"Centuriones")</f>
        <v>Centuriones</v>
      </c>
      <c r="U14" s="119" t="str">
        <f>IFERROR(__xludf.DUMMYFUNCTION("""COMPUTED_VALUE"""),"Polar Bears")</f>
        <v>Polar Bears</v>
      </c>
      <c r="V14" s="143">
        <f>IFERROR(__xludf.DUMMYFUNCTION("""COMPUTED_VALUE"""),45917.0)</f>
        <v>45917</v>
      </c>
      <c r="W14" s="7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IFERROR(__xludf.DUMMYFUNCTION("""COMPUTED_VALUE"""),"Phoenix")</f>
        <v>Phoenix</v>
      </c>
      <c r="D15" s="119" t="str">
        <f>IFERROR(__xludf.DUMMYFUNCTION("""COMPUTED_VALUE"""),"Ocelots")</f>
        <v>Ocelots</v>
      </c>
      <c r="E15" s="119" t="str">
        <f>IFERROR(__xludf.DUMMYFUNCTION("""COMPUTED_VALUE"""),"Polar Ice")</f>
        <v>Polar Ice</v>
      </c>
      <c r="F15" s="119" t="str">
        <f>IFERROR(__xludf.DUMMYFUNCTION("""COMPUTED_VALUE"""),"Black Ice")</f>
        <v>Black Ice</v>
      </c>
      <c r="G15" s="107"/>
      <c r="H15" s="119" t="str">
        <f>IFERROR(__xludf.DUMMYFUNCTION("""COMPUTED_VALUE"""),"Lacuna")</f>
        <v>Lacuna</v>
      </c>
      <c r="I15" s="119" t="str">
        <f>IFERROR(__xludf.DUMMYFUNCTION("""COMPUTED_VALUE"""),"Howlers")</f>
        <v>Howlers</v>
      </c>
      <c r="J15" s="119" t="str">
        <f>IFERROR(__xludf.DUMMYFUNCTION("""COMPUTED_VALUE"""),"Liars")</f>
        <v>Liars</v>
      </c>
      <c r="K15" s="119" t="str">
        <f>IFERROR(__xludf.DUMMYFUNCTION("""COMPUTED_VALUE"""),"Primo")</f>
        <v>Primo</v>
      </c>
      <c r="L15" s="107"/>
      <c r="M15" s="119" t="str">
        <f>IFERROR(__xludf.DUMMYFUNCTION("""COMPUTED_VALUE"""),"Kitsune")</f>
        <v>Kitsune</v>
      </c>
      <c r="N15" s="119" t="str">
        <f>IFERROR(__xludf.DUMMYFUNCTION("""COMPUTED_VALUE"""),"Hammerheads")</f>
        <v>Hammerheads</v>
      </c>
      <c r="O15" s="119" t="str">
        <f>IFERROR(__xludf.DUMMYFUNCTION("""COMPUTED_VALUE"""),"Hue Heroes")</f>
        <v>Hue Heroes</v>
      </c>
      <c r="P15" s="119" t="str">
        <f>IFERROR(__xludf.DUMMYFUNCTION("""COMPUTED_VALUE"""),"Wind")</f>
        <v>Wind</v>
      </c>
      <c r="Q15" s="107"/>
      <c r="R15" s="119" t="str">
        <f>IFERROR(__xludf.DUMMYFUNCTION("""COMPUTED_VALUE"""),"Polar Bears")</f>
        <v>Polar Bears</v>
      </c>
      <c r="S15" s="119" t="str">
        <f>IFERROR(__xludf.DUMMYFUNCTION("""COMPUTED_VALUE"""),"Centuriones")</f>
        <v>Centuriones</v>
      </c>
      <c r="T15" s="119" t="str">
        <f>IFERROR(__xludf.DUMMYFUNCTION("""COMPUTED_VALUE"""),"Purrgatory")</f>
        <v>Purrgatory</v>
      </c>
      <c r="U15" s="119" t="str">
        <f>IFERROR(__xludf.DUMMYFUNCTION("""COMPUTED_VALUE"""),"Dracos")</f>
        <v>Dracos</v>
      </c>
      <c r="V15" s="143">
        <f>IFERROR(__xludf.DUMMYFUNCTION("""COMPUTED_VALUE"""),45922.0)</f>
        <v>45922</v>
      </c>
      <c r="W15" s="7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IFERROR(__xludf.DUMMYFUNCTION("""COMPUTED_VALUE"""),"Polar Ice")</f>
        <v>Polar Ice</v>
      </c>
      <c r="D16" s="119" t="str">
        <f>IFERROR(__xludf.DUMMYFUNCTION("""COMPUTED_VALUE"""),"Black Ice")</f>
        <v>Black Ice</v>
      </c>
      <c r="E16" s="119" t="str">
        <f>IFERROR(__xludf.DUMMYFUNCTION("""COMPUTED_VALUE"""),"Phoenix")</f>
        <v>Phoenix</v>
      </c>
      <c r="F16" s="119" t="str">
        <f>IFERROR(__xludf.DUMMYFUNCTION("""COMPUTED_VALUE"""),"Ocelots")</f>
        <v>Ocelots</v>
      </c>
      <c r="G16" s="107"/>
      <c r="H16" s="119" t="str">
        <f>IFERROR(__xludf.DUMMYFUNCTION("""COMPUTED_VALUE"""),"Liars")</f>
        <v>Liars</v>
      </c>
      <c r="I16" s="119" t="str">
        <f>IFERROR(__xludf.DUMMYFUNCTION("""COMPUTED_VALUE"""),"Primo")</f>
        <v>Primo</v>
      </c>
      <c r="J16" s="119" t="str">
        <f>IFERROR(__xludf.DUMMYFUNCTION("""COMPUTED_VALUE"""),"Lacuna")</f>
        <v>Lacuna</v>
      </c>
      <c r="K16" s="119" t="str">
        <f>IFERROR(__xludf.DUMMYFUNCTION("""COMPUTED_VALUE"""),"Howlers")</f>
        <v>Howlers</v>
      </c>
      <c r="L16" s="107"/>
      <c r="M16" s="119" t="str">
        <f>IFERROR(__xludf.DUMMYFUNCTION("""COMPUTED_VALUE"""),"Hue Heroes")</f>
        <v>Hue Heroes</v>
      </c>
      <c r="N16" s="119" t="str">
        <f>IFERROR(__xludf.DUMMYFUNCTION("""COMPUTED_VALUE"""),"Wind")</f>
        <v>Wind</v>
      </c>
      <c r="O16" s="119" t="str">
        <f>IFERROR(__xludf.DUMMYFUNCTION("""COMPUTED_VALUE"""),"Kitsune")</f>
        <v>Kitsune</v>
      </c>
      <c r="P16" s="119" t="str">
        <f>IFERROR(__xludf.DUMMYFUNCTION("""COMPUTED_VALUE"""),"Hammerheads")</f>
        <v>Hammerheads</v>
      </c>
      <c r="Q16" s="107"/>
      <c r="R16" s="119" t="str">
        <f>IFERROR(__xludf.DUMMYFUNCTION("""COMPUTED_VALUE"""),"Purrgatory")</f>
        <v>Purrgatory</v>
      </c>
      <c r="S16" s="119" t="str">
        <f>IFERROR(__xludf.DUMMYFUNCTION("""COMPUTED_VALUE"""),"Dracos")</f>
        <v>Dracos</v>
      </c>
      <c r="T16" s="119" t="str">
        <f>IFERROR(__xludf.DUMMYFUNCTION("""COMPUTED_VALUE"""),"Polar Bears")</f>
        <v>Polar Bears</v>
      </c>
      <c r="U16" s="119" t="str">
        <f>IFERROR(__xludf.DUMMYFUNCTION("""COMPUTED_VALUE"""),"Centuriones")</f>
        <v>Centuriones</v>
      </c>
      <c r="V16" s="143">
        <f>IFERROR(__xludf.DUMMYFUNCTION("""COMPUTED_VALUE"""),45924.0)</f>
        <v>45924</v>
      </c>
      <c r="W16" s="7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IFERROR(__xludf.DUMMYFUNCTION("""COMPUTED_VALUE"""),"Tax Evaders")</f>
        <v>Tax Evaders</v>
      </c>
      <c r="D17" s="122" t="str">
        <f>IFERROR(__xludf.DUMMYFUNCTION("""COMPUTED_VALUE"""),"Asiago Arsonists")</f>
        <v>Asiago Arsonists</v>
      </c>
      <c r="E17" s="122" t="str">
        <f>IFERROR(__xludf.DUMMYFUNCTION("""COMPUTED_VALUE"""),"Lightning")</f>
        <v>Lightning</v>
      </c>
      <c r="F17" s="122" t="str">
        <f>IFERROR(__xludf.DUMMYFUNCTION("""COMPUTED_VALUE"""),"Ruthless Racket")</f>
        <v>Ruthless Racket</v>
      </c>
      <c r="G17" s="107"/>
      <c r="H17" s="122" t="str">
        <f>IFERROR(__xludf.DUMMYFUNCTION("""COMPUTED_VALUE"""),"Mining Legion")</f>
        <v>Mining Legion</v>
      </c>
      <c r="I17" s="122" t="str">
        <f>IFERROR(__xludf.DUMMYFUNCTION("""COMPUTED_VALUE"""),"Heavy Metal")</f>
        <v>Heavy Metal</v>
      </c>
      <c r="J17" s="122" t="str">
        <f>IFERROR(__xludf.DUMMYFUNCTION("""COMPUTED_VALUE"""),"Samurai")</f>
        <v>Samurai</v>
      </c>
      <c r="K17" s="122" t="str">
        <f>IFERROR(__xludf.DUMMYFUNCTION("""COMPUTED_VALUE"""),"Quasars")</f>
        <v>Quasars</v>
      </c>
      <c r="L17" s="107"/>
      <c r="M17" s="122" t="str">
        <f>IFERROR(__xludf.DUMMYFUNCTION("""COMPUTED_VALUE"""),"Hot Wings")</f>
        <v>Hot Wings</v>
      </c>
      <c r="N17" s="122" t="str">
        <f>IFERROR(__xludf.DUMMYFUNCTION("""COMPUTED_VALUE"""),"Phantoms")</f>
        <v>Phantoms</v>
      </c>
      <c r="O17" s="122" t="str">
        <f>IFERROR(__xludf.DUMMYFUNCTION("""COMPUTED_VALUE"""),"Nightfall")</f>
        <v>Nightfall</v>
      </c>
      <c r="P17" s="122" t="str">
        <f>IFERROR(__xludf.DUMMYFUNCTION("""COMPUTED_VALUE"""),"Scramjets")</f>
        <v>Scramjets</v>
      </c>
      <c r="Q17" s="107"/>
      <c r="R17" s="122" t="str">
        <f>IFERROR(__xludf.DUMMYFUNCTION("""COMPUTED_VALUE"""),"Barracudas")</f>
        <v>Barracudas</v>
      </c>
      <c r="S17" s="122" t="str">
        <f>IFERROR(__xludf.DUMMYFUNCTION("""COMPUTED_VALUE"""),"Hippos")</f>
        <v>Hippos</v>
      </c>
      <c r="T17" s="122" t="str">
        <f>IFERROR(__xludf.DUMMYFUNCTION("""COMPUTED_VALUE"""),"Guards")</f>
        <v>Guards</v>
      </c>
      <c r="U17" s="122" t="str">
        <f>IFERROR(__xludf.DUMMYFUNCTION("""COMPUTED_VALUE"""),"Gaboons")</f>
        <v>Gaboons</v>
      </c>
      <c r="V17" s="143">
        <f>IFERROR(__xludf.DUMMYFUNCTION("""COMPUTED_VALUE"""),45929.0)</f>
        <v>45929</v>
      </c>
      <c r="W17" s="7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IFERROR(__xludf.DUMMYFUNCTION("""COMPUTED_VALUE"""),"Asiago Arsonists")</f>
        <v>Asiago Arsonists</v>
      </c>
      <c r="D18" s="122" t="str">
        <f>IFERROR(__xludf.DUMMYFUNCTION("""COMPUTED_VALUE"""),"Tax Evaders")</f>
        <v>Tax Evaders</v>
      </c>
      <c r="E18" s="122" t="str">
        <f>IFERROR(__xludf.DUMMYFUNCTION("""COMPUTED_VALUE"""),"Ruthless Racket")</f>
        <v>Ruthless Racket</v>
      </c>
      <c r="F18" s="122" t="str">
        <f>IFERROR(__xludf.DUMMYFUNCTION("""COMPUTED_VALUE"""),"Lightning")</f>
        <v>Lightning</v>
      </c>
      <c r="G18" s="107"/>
      <c r="H18" s="122" t="str">
        <f>IFERROR(__xludf.DUMMYFUNCTION("""COMPUTED_VALUE"""),"Heavy Metal")</f>
        <v>Heavy Metal</v>
      </c>
      <c r="I18" s="122" t="str">
        <f>IFERROR(__xludf.DUMMYFUNCTION("""COMPUTED_VALUE"""),"Mining Legion")</f>
        <v>Mining Legion</v>
      </c>
      <c r="J18" s="122" t="str">
        <f>IFERROR(__xludf.DUMMYFUNCTION("""COMPUTED_VALUE"""),"Quasars")</f>
        <v>Quasars</v>
      </c>
      <c r="K18" s="122" t="str">
        <f>IFERROR(__xludf.DUMMYFUNCTION("""COMPUTED_VALUE"""),"Samurai")</f>
        <v>Samurai</v>
      </c>
      <c r="L18" s="107"/>
      <c r="M18" s="122" t="str">
        <f>IFERROR(__xludf.DUMMYFUNCTION("""COMPUTED_VALUE"""),"Phantoms")</f>
        <v>Phantoms</v>
      </c>
      <c r="N18" s="122" t="str">
        <f>IFERROR(__xludf.DUMMYFUNCTION("""COMPUTED_VALUE"""),"Hot Wings")</f>
        <v>Hot Wings</v>
      </c>
      <c r="O18" s="122" t="str">
        <f>IFERROR(__xludf.DUMMYFUNCTION("""COMPUTED_VALUE"""),"Scramjets")</f>
        <v>Scramjets</v>
      </c>
      <c r="P18" s="122" t="str">
        <f>IFERROR(__xludf.DUMMYFUNCTION("""COMPUTED_VALUE"""),"Nightfall")</f>
        <v>Nightfall</v>
      </c>
      <c r="Q18" s="107"/>
      <c r="R18" s="122" t="str">
        <f>IFERROR(__xludf.DUMMYFUNCTION("""COMPUTED_VALUE"""),"Hippos")</f>
        <v>Hippos</v>
      </c>
      <c r="S18" s="122" t="str">
        <f>IFERROR(__xludf.DUMMYFUNCTION("""COMPUTED_VALUE"""),"Barracudas")</f>
        <v>Barracudas</v>
      </c>
      <c r="T18" s="122" t="str">
        <f>IFERROR(__xludf.DUMMYFUNCTION("""COMPUTED_VALUE"""),"Gaboons")</f>
        <v>Gaboons</v>
      </c>
      <c r="U18" s="122" t="str">
        <f>IFERROR(__xludf.DUMMYFUNCTION("""COMPUTED_VALUE"""),"Guards")</f>
        <v>Guards</v>
      </c>
      <c r="V18" s="143">
        <f>IFERROR(__xludf.DUMMYFUNCTION("""COMPUTED_VALUE"""),45931.0)</f>
        <v>45931</v>
      </c>
      <c r="W18" s="7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IFERROR(__xludf.DUMMYFUNCTION("""COMPUTED_VALUE"""),"Ruthless Racket")</f>
        <v>Ruthless Racket</v>
      </c>
      <c r="D19" s="122" t="str">
        <f>IFERROR(__xludf.DUMMYFUNCTION("""COMPUTED_VALUE"""),"Lightning")</f>
        <v>Lightning</v>
      </c>
      <c r="E19" s="122" t="str">
        <f>IFERROR(__xludf.DUMMYFUNCTION("""COMPUTED_VALUE"""),"Asiago Arsonists")</f>
        <v>Asiago Arsonists</v>
      </c>
      <c r="F19" s="122" t="str">
        <f>IFERROR(__xludf.DUMMYFUNCTION("""COMPUTED_VALUE"""),"Tax Evaders")</f>
        <v>Tax Evaders</v>
      </c>
      <c r="G19" s="107"/>
      <c r="H19" s="122" t="str">
        <f>IFERROR(__xludf.DUMMYFUNCTION("""COMPUTED_VALUE"""),"Quasars")</f>
        <v>Quasars</v>
      </c>
      <c r="I19" s="122" t="str">
        <f>IFERROR(__xludf.DUMMYFUNCTION("""COMPUTED_VALUE"""),"Samurai")</f>
        <v>Samurai</v>
      </c>
      <c r="J19" s="122" t="str">
        <f>IFERROR(__xludf.DUMMYFUNCTION("""COMPUTED_VALUE"""),"Heavy Metal")</f>
        <v>Heavy Metal</v>
      </c>
      <c r="K19" s="122" t="str">
        <f>IFERROR(__xludf.DUMMYFUNCTION("""COMPUTED_VALUE"""),"Mining Legion")</f>
        <v>Mining Legion</v>
      </c>
      <c r="L19" s="107"/>
      <c r="M19" s="122" t="str">
        <f>IFERROR(__xludf.DUMMYFUNCTION("""COMPUTED_VALUE"""),"Scramjets")</f>
        <v>Scramjets</v>
      </c>
      <c r="N19" s="122" t="str">
        <f>IFERROR(__xludf.DUMMYFUNCTION("""COMPUTED_VALUE"""),"Nightfall")</f>
        <v>Nightfall</v>
      </c>
      <c r="O19" s="122" t="str">
        <f>IFERROR(__xludf.DUMMYFUNCTION("""COMPUTED_VALUE"""),"Phantoms")</f>
        <v>Phantoms</v>
      </c>
      <c r="P19" s="122" t="str">
        <f>IFERROR(__xludf.DUMMYFUNCTION("""COMPUTED_VALUE"""),"Hot Wings")</f>
        <v>Hot Wings</v>
      </c>
      <c r="Q19" s="107"/>
      <c r="R19" s="122" t="str">
        <f>IFERROR(__xludf.DUMMYFUNCTION("""COMPUTED_VALUE"""),"Gaboons")</f>
        <v>Gaboons</v>
      </c>
      <c r="S19" s="122" t="str">
        <f>IFERROR(__xludf.DUMMYFUNCTION("""COMPUTED_VALUE"""),"Guards")</f>
        <v>Guards</v>
      </c>
      <c r="T19" s="122" t="str">
        <f>IFERROR(__xludf.DUMMYFUNCTION("""COMPUTED_VALUE"""),"Hippos")</f>
        <v>Hippos</v>
      </c>
      <c r="U19" s="122" t="str">
        <f>IFERROR(__xludf.DUMMYFUNCTION("""COMPUTED_VALUE"""),"Barracudas")</f>
        <v>Barracudas</v>
      </c>
      <c r="V19" s="143">
        <f>IFERROR(__xludf.DUMMYFUNCTION("""COMPUTED_VALUE"""),45936.0)</f>
        <v>45936</v>
      </c>
      <c r="W19" s="73"/>
    </row>
    <row r="20">
      <c r="A20" s="73"/>
      <c r="B20" s="67" t="str">
        <f>IFERROR(__xludf.DUMMYFUNCTION("""COMPUTED_VALUE"""),"Match Day 9")</f>
        <v>Match Day 9</v>
      </c>
      <c r="C20" s="121" t="str">
        <f>IFERROR(__xludf.DUMMYFUNCTION("""COMPUTED_VALUE"""),"Lightning")</f>
        <v>Lightning</v>
      </c>
      <c r="D20" s="122" t="str">
        <f>IFERROR(__xludf.DUMMYFUNCTION("""COMPUTED_VALUE"""),"Ruthless Racket")</f>
        <v>Ruthless Racket</v>
      </c>
      <c r="E20" s="122" t="str">
        <f>IFERROR(__xludf.DUMMYFUNCTION("""COMPUTED_VALUE"""),"Tax Evaders")</f>
        <v>Tax Evaders</v>
      </c>
      <c r="F20" s="122" t="str">
        <f>IFERROR(__xludf.DUMMYFUNCTION("""COMPUTED_VALUE"""),"Asiago Arsonists")</f>
        <v>Asiago Arsonists</v>
      </c>
      <c r="G20" s="107"/>
      <c r="H20" s="122" t="str">
        <f>IFERROR(__xludf.DUMMYFUNCTION("""COMPUTED_VALUE"""),"Samurai")</f>
        <v>Samurai</v>
      </c>
      <c r="I20" s="122" t="str">
        <f>IFERROR(__xludf.DUMMYFUNCTION("""COMPUTED_VALUE"""),"Quasars")</f>
        <v>Quasars</v>
      </c>
      <c r="J20" s="122" t="str">
        <f>IFERROR(__xludf.DUMMYFUNCTION("""COMPUTED_VALUE"""),"Mining Legion")</f>
        <v>Mining Legion</v>
      </c>
      <c r="K20" s="122" t="str">
        <f>IFERROR(__xludf.DUMMYFUNCTION("""COMPUTED_VALUE"""),"Heavy Metal")</f>
        <v>Heavy Metal</v>
      </c>
      <c r="L20" s="107"/>
      <c r="M20" s="122" t="str">
        <f>IFERROR(__xludf.DUMMYFUNCTION("""COMPUTED_VALUE"""),"Nightfall")</f>
        <v>Nightfall</v>
      </c>
      <c r="N20" s="122" t="str">
        <f>IFERROR(__xludf.DUMMYFUNCTION("""COMPUTED_VALUE"""),"Scramjets")</f>
        <v>Scramjets</v>
      </c>
      <c r="O20" s="122" t="str">
        <f>IFERROR(__xludf.DUMMYFUNCTION("""COMPUTED_VALUE"""),"Hot Wings")</f>
        <v>Hot Wings</v>
      </c>
      <c r="P20" s="122" t="str">
        <f>IFERROR(__xludf.DUMMYFUNCTION("""COMPUTED_VALUE"""),"Phantoms")</f>
        <v>Phantoms</v>
      </c>
      <c r="Q20" s="107"/>
      <c r="R20" s="122" t="str">
        <f>IFERROR(__xludf.DUMMYFUNCTION("""COMPUTED_VALUE"""),"Guards")</f>
        <v>Guards</v>
      </c>
      <c r="S20" s="122" t="str">
        <f>IFERROR(__xludf.DUMMYFUNCTION("""COMPUTED_VALUE"""),"Gaboons")</f>
        <v>Gaboons</v>
      </c>
      <c r="T20" s="122" t="str">
        <f>IFERROR(__xludf.DUMMYFUNCTION("""COMPUTED_VALUE"""),"Barracudas")</f>
        <v>Barracudas</v>
      </c>
      <c r="U20" s="122" t="str">
        <f>IFERROR(__xludf.DUMMYFUNCTION("""COMPUTED_VALUE"""),"Hippos")</f>
        <v>Hippos</v>
      </c>
      <c r="V20" s="143">
        <f>IFERROR(__xludf.DUMMYFUNCTION("""COMPUTED_VALUE"""),45938.0)</f>
        <v>45938</v>
      </c>
      <c r="W20" s="73"/>
    </row>
    <row r="21">
      <c r="A21" s="73"/>
      <c r="B21" s="55" t="str">
        <f>IFERROR(__xludf.DUMMYFUNCTION("""COMPUTED_VALUE"""),"Match Day 10")</f>
        <v>Match Day 10</v>
      </c>
      <c r="C21" s="87" t="str">
        <f>IFERROR(__xludf.DUMMYFUNCTION("""COMPUTED_VALUE"""),"Hammerheads")</f>
        <v>Hammerheads</v>
      </c>
      <c r="D21" s="88" t="str">
        <f>IFERROR(__xludf.DUMMYFUNCTION("""COMPUTED_VALUE"""),"Kitsune")</f>
        <v>Kitsune</v>
      </c>
      <c r="E21" s="88" t="str">
        <f>IFERROR(__xludf.DUMMYFUNCTION("""COMPUTED_VALUE"""),"Wind")</f>
        <v>Wind</v>
      </c>
      <c r="F21" s="88" t="str">
        <f>IFERROR(__xludf.DUMMYFUNCTION("""COMPUTED_VALUE"""),"Hue Heroes")</f>
        <v>Hue Heroes</v>
      </c>
      <c r="G21" s="107"/>
      <c r="H21" s="88" t="str">
        <f>IFERROR(__xludf.DUMMYFUNCTION("""COMPUTED_VALUE"""),"Centuriones")</f>
        <v>Centuriones</v>
      </c>
      <c r="I21" s="88" t="str">
        <f>IFERROR(__xludf.DUMMYFUNCTION("""COMPUTED_VALUE"""),"Polar Bears")</f>
        <v>Polar Bears</v>
      </c>
      <c r="J21" s="88" t="str">
        <f>IFERROR(__xludf.DUMMYFUNCTION("""COMPUTED_VALUE"""),"Dracos")</f>
        <v>Dracos</v>
      </c>
      <c r="K21" s="88" t="str">
        <f>IFERROR(__xludf.DUMMYFUNCTION("""COMPUTED_VALUE"""),"Purrgatory")</f>
        <v>Purrgatory</v>
      </c>
      <c r="L21" s="107"/>
      <c r="M21" s="88" t="str">
        <f>IFERROR(__xludf.DUMMYFUNCTION("""COMPUTED_VALUE"""),"Ocelots")</f>
        <v>Ocelots</v>
      </c>
      <c r="N21" s="88" t="str">
        <f>IFERROR(__xludf.DUMMYFUNCTION("""COMPUTED_VALUE"""),"Phoenix")</f>
        <v>Phoenix</v>
      </c>
      <c r="O21" s="88" t="str">
        <f>IFERROR(__xludf.DUMMYFUNCTION("""COMPUTED_VALUE"""),"Black Ice")</f>
        <v>Black Ice</v>
      </c>
      <c r="P21" s="88" t="str">
        <f>IFERROR(__xludf.DUMMYFUNCTION("""COMPUTED_VALUE"""),"Polar Ice")</f>
        <v>Polar Ice</v>
      </c>
      <c r="Q21" s="107"/>
      <c r="R21" s="88" t="str">
        <f>IFERROR(__xludf.DUMMYFUNCTION("""COMPUTED_VALUE"""),"Howlers")</f>
        <v>Howlers</v>
      </c>
      <c r="S21" s="88" t="str">
        <f>IFERROR(__xludf.DUMMYFUNCTION("""COMPUTED_VALUE"""),"Lacuna")</f>
        <v>Lacuna</v>
      </c>
      <c r="T21" s="88" t="str">
        <f>IFERROR(__xludf.DUMMYFUNCTION("""COMPUTED_VALUE"""),"Primo")</f>
        <v>Primo</v>
      </c>
      <c r="U21" s="88" t="str">
        <f>IFERROR(__xludf.DUMMYFUNCTION("""COMPUTED_VALUE"""),"Liars")</f>
        <v>Liars</v>
      </c>
      <c r="V21" s="143">
        <f>IFERROR(__xludf.DUMMYFUNCTION("""COMPUTED_VALUE"""),45945.0)</f>
        <v>45945</v>
      </c>
      <c r="W21" s="73"/>
    </row>
    <row r="22">
      <c r="A22" s="73"/>
      <c r="B22" s="55" t="str">
        <f>IFERROR(__xludf.DUMMYFUNCTION("""COMPUTED_VALUE"""),"Match Day 11")</f>
        <v>Match Day 11</v>
      </c>
      <c r="C22" s="87" t="str">
        <f>IFERROR(__xludf.DUMMYFUNCTION("""COMPUTED_VALUE"""),"Kitsune")</f>
        <v>Kitsune</v>
      </c>
      <c r="D22" s="88" t="str">
        <f>IFERROR(__xludf.DUMMYFUNCTION("""COMPUTED_VALUE"""),"Hammerheads")</f>
        <v>Hammerheads</v>
      </c>
      <c r="E22" s="88" t="str">
        <f>IFERROR(__xludf.DUMMYFUNCTION("""COMPUTED_VALUE"""),"Hue Heroes")</f>
        <v>Hue Heroes</v>
      </c>
      <c r="F22" s="88" t="str">
        <f>IFERROR(__xludf.DUMMYFUNCTION("""COMPUTED_VALUE"""),"Wind")</f>
        <v>Wind</v>
      </c>
      <c r="G22" s="107"/>
      <c r="H22" s="88" t="str">
        <f>IFERROR(__xludf.DUMMYFUNCTION("""COMPUTED_VALUE"""),"Polar Bears")</f>
        <v>Polar Bears</v>
      </c>
      <c r="I22" s="88" t="str">
        <f>IFERROR(__xludf.DUMMYFUNCTION("""COMPUTED_VALUE"""),"Centuriones")</f>
        <v>Centuriones</v>
      </c>
      <c r="J22" s="88" t="str">
        <f>IFERROR(__xludf.DUMMYFUNCTION("""COMPUTED_VALUE"""),"Purrgatory")</f>
        <v>Purrgatory</v>
      </c>
      <c r="K22" s="88" t="str">
        <f>IFERROR(__xludf.DUMMYFUNCTION("""COMPUTED_VALUE"""),"Dracos")</f>
        <v>Dracos</v>
      </c>
      <c r="L22" s="107"/>
      <c r="M22" s="88" t="str">
        <f>IFERROR(__xludf.DUMMYFUNCTION("""COMPUTED_VALUE"""),"Phoenix")</f>
        <v>Phoenix</v>
      </c>
      <c r="N22" s="88" t="str">
        <f>IFERROR(__xludf.DUMMYFUNCTION("""COMPUTED_VALUE"""),"Ocelots")</f>
        <v>Ocelots</v>
      </c>
      <c r="O22" s="88" t="str">
        <f>IFERROR(__xludf.DUMMYFUNCTION("""COMPUTED_VALUE"""),"Polar Ice")</f>
        <v>Polar Ice</v>
      </c>
      <c r="P22" s="88" t="str">
        <f>IFERROR(__xludf.DUMMYFUNCTION("""COMPUTED_VALUE"""),"Black Ice")</f>
        <v>Black Ice</v>
      </c>
      <c r="Q22" s="107"/>
      <c r="R22" s="88" t="str">
        <f>IFERROR(__xludf.DUMMYFUNCTION("""COMPUTED_VALUE"""),"Lacuna")</f>
        <v>Lacuna</v>
      </c>
      <c r="S22" s="88" t="str">
        <f>IFERROR(__xludf.DUMMYFUNCTION("""COMPUTED_VALUE"""),"Howlers")</f>
        <v>Howlers</v>
      </c>
      <c r="T22" s="88" t="str">
        <f>IFERROR(__xludf.DUMMYFUNCTION("""COMPUTED_VALUE"""),"Liars")</f>
        <v>Liars</v>
      </c>
      <c r="U22" s="88" t="str">
        <f>IFERROR(__xludf.DUMMYFUNCTION("""COMPUTED_VALUE"""),"Primo")</f>
        <v>Primo</v>
      </c>
      <c r="V22" s="143">
        <f>IFERROR(__xludf.DUMMYFUNCTION("""COMPUTED_VALUE"""),45950.0)</f>
        <v>45950</v>
      </c>
      <c r="W22" s="73"/>
    </row>
    <row r="23">
      <c r="A23" s="73"/>
      <c r="B23" s="68" t="str">
        <f>IFERROR(__xludf.DUMMYFUNCTION("""COMPUTED_VALUE"""),"Match Day 12")</f>
        <v>Match Day 12</v>
      </c>
      <c r="C23" s="87" t="str">
        <f>IFERROR(__xludf.DUMMYFUNCTION("""COMPUTED_VALUE"""),"Wind")</f>
        <v>Wind</v>
      </c>
      <c r="D23" s="88" t="str">
        <f>IFERROR(__xludf.DUMMYFUNCTION("""COMPUTED_VALUE"""),"Hue Heroes")</f>
        <v>Hue Heroes</v>
      </c>
      <c r="E23" s="88" t="str">
        <f>IFERROR(__xludf.DUMMYFUNCTION("""COMPUTED_VALUE"""),"Hammerheads")</f>
        <v>Hammerheads</v>
      </c>
      <c r="F23" s="88" t="str">
        <f>IFERROR(__xludf.DUMMYFUNCTION("""COMPUTED_VALUE"""),"Kitsune")</f>
        <v>Kitsune</v>
      </c>
      <c r="G23" s="107"/>
      <c r="H23" s="88" t="str">
        <f>IFERROR(__xludf.DUMMYFUNCTION("""COMPUTED_VALUE"""),"Dracos")</f>
        <v>Dracos</v>
      </c>
      <c r="I23" s="88" t="str">
        <f>IFERROR(__xludf.DUMMYFUNCTION("""COMPUTED_VALUE"""),"Purrgatory")</f>
        <v>Purrgatory</v>
      </c>
      <c r="J23" s="88" t="str">
        <f>IFERROR(__xludf.DUMMYFUNCTION("""COMPUTED_VALUE"""),"Centuriones")</f>
        <v>Centuriones</v>
      </c>
      <c r="K23" s="88" t="str">
        <f>IFERROR(__xludf.DUMMYFUNCTION("""COMPUTED_VALUE"""),"Polar Bears")</f>
        <v>Polar Bears</v>
      </c>
      <c r="L23" s="107"/>
      <c r="M23" s="88" t="str">
        <f>IFERROR(__xludf.DUMMYFUNCTION("""COMPUTED_VALUE"""),"Black Ice")</f>
        <v>Black Ice</v>
      </c>
      <c r="N23" s="88" t="str">
        <f>IFERROR(__xludf.DUMMYFUNCTION("""COMPUTED_VALUE"""),"Polar Ice")</f>
        <v>Polar Ice</v>
      </c>
      <c r="O23" s="88" t="str">
        <f>IFERROR(__xludf.DUMMYFUNCTION("""COMPUTED_VALUE"""),"Ocelots")</f>
        <v>Ocelots</v>
      </c>
      <c r="P23" s="88" t="str">
        <f>IFERROR(__xludf.DUMMYFUNCTION("""COMPUTED_VALUE"""),"Phoenix")</f>
        <v>Phoenix</v>
      </c>
      <c r="Q23" s="107"/>
      <c r="R23" s="88" t="str">
        <f>IFERROR(__xludf.DUMMYFUNCTION("""COMPUTED_VALUE"""),"Primo")</f>
        <v>Primo</v>
      </c>
      <c r="S23" s="88" t="str">
        <f>IFERROR(__xludf.DUMMYFUNCTION("""COMPUTED_VALUE"""),"Liars")</f>
        <v>Liars</v>
      </c>
      <c r="T23" s="88" t="str">
        <f>IFERROR(__xludf.DUMMYFUNCTION("""COMPUTED_VALUE"""),"Howlers")</f>
        <v>Howlers</v>
      </c>
      <c r="U23" s="88" t="str">
        <f>IFERROR(__xludf.DUMMYFUNCTION("""COMPUTED_VALUE"""),"Lacuna")</f>
        <v>Lacuna</v>
      </c>
      <c r="V23" s="143">
        <f>IFERROR(__xludf.DUMMYFUNCTION("""COMPUTED_VALUE"""),45952.0)</f>
        <v>45952</v>
      </c>
      <c r="W23" s="73"/>
    </row>
    <row r="24">
      <c r="A24" s="73"/>
      <c r="B24" s="68" t="str">
        <f>IFERROR(__xludf.DUMMYFUNCTION("""COMPUTED_VALUE"""),"Match Day 13")</f>
        <v>Match Day 13</v>
      </c>
      <c r="C24" s="87" t="str">
        <f>IFERROR(__xludf.DUMMYFUNCTION("""COMPUTED_VALUE"""),"Hue Heroes")</f>
        <v>Hue Heroes</v>
      </c>
      <c r="D24" s="88" t="str">
        <f>IFERROR(__xludf.DUMMYFUNCTION("""COMPUTED_VALUE"""),"Wind")</f>
        <v>Wind</v>
      </c>
      <c r="E24" s="88" t="str">
        <f>IFERROR(__xludf.DUMMYFUNCTION("""COMPUTED_VALUE"""),"Kitsune")</f>
        <v>Kitsune</v>
      </c>
      <c r="F24" s="88" t="str">
        <f>IFERROR(__xludf.DUMMYFUNCTION("""COMPUTED_VALUE"""),"Hammerheads")</f>
        <v>Hammerheads</v>
      </c>
      <c r="G24" s="107"/>
      <c r="H24" s="88" t="str">
        <f>IFERROR(__xludf.DUMMYFUNCTION("""COMPUTED_VALUE"""),"Purrgatory")</f>
        <v>Purrgatory</v>
      </c>
      <c r="I24" s="88" t="str">
        <f>IFERROR(__xludf.DUMMYFUNCTION("""COMPUTED_VALUE"""),"Dracos")</f>
        <v>Dracos</v>
      </c>
      <c r="J24" s="88" t="str">
        <f>IFERROR(__xludf.DUMMYFUNCTION("""COMPUTED_VALUE"""),"Polar Bears")</f>
        <v>Polar Bears</v>
      </c>
      <c r="K24" s="88" t="str">
        <f>IFERROR(__xludf.DUMMYFUNCTION("""COMPUTED_VALUE"""),"Centuriones")</f>
        <v>Centuriones</v>
      </c>
      <c r="L24" s="107"/>
      <c r="M24" s="88" t="str">
        <f>IFERROR(__xludf.DUMMYFUNCTION("""COMPUTED_VALUE"""),"Polar Ice")</f>
        <v>Polar Ice</v>
      </c>
      <c r="N24" s="88" t="str">
        <f>IFERROR(__xludf.DUMMYFUNCTION("""COMPUTED_VALUE"""),"Black Ice")</f>
        <v>Black Ice</v>
      </c>
      <c r="O24" s="88" t="str">
        <f>IFERROR(__xludf.DUMMYFUNCTION("""COMPUTED_VALUE"""),"Phoenix")</f>
        <v>Phoenix</v>
      </c>
      <c r="P24" s="88" t="str">
        <f>IFERROR(__xludf.DUMMYFUNCTION("""COMPUTED_VALUE"""),"Ocelots")</f>
        <v>Ocelots</v>
      </c>
      <c r="Q24" s="107"/>
      <c r="R24" s="88" t="str">
        <f>IFERROR(__xludf.DUMMYFUNCTION("""COMPUTED_VALUE"""),"Liars")</f>
        <v>Liars</v>
      </c>
      <c r="S24" s="88" t="str">
        <f>IFERROR(__xludf.DUMMYFUNCTION("""COMPUTED_VALUE"""),"Primo")</f>
        <v>Primo</v>
      </c>
      <c r="T24" s="88" t="str">
        <f>IFERROR(__xludf.DUMMYFUNCTION("""COMPUTED_VALUE"""),"Lacuna")</f>
        <v>Lacuna</v>
      </c>
      <c r="U24" s="88" t="str">
        <f>IFERROR(__xludf.DUMMYFUNCTION("""COMPUTED_VALUE"""),"Howlers")</f>
        <v>Howlers</v>
      </c>
      <c r="V24" s="143">
        <f>IFERROR(__xludf.DUMMYFUNCTION("""COMPUTED_VALUE"""),45957.0)</f>
        <v>45957</v>
      </c>
      <c r="W24" s="7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IFERROR(__xludf.DUMMYFUNCTION("""COMPUTED_VALUE"""),"Black Ice")</f>
        <v>Black Ice</v>
      </c>
      <c r="D25" s="119" t="str">
        <f>IFERROR(__xludf.DUMMYFUNCTION("""COMPUTED_VALUE"""),"Polar Ice")</f>
        <v>Polar Ice</v>
      </c>
      <c r="E25" s="119" t="str">
        <f>IFERROR(__xludf.DUMMYFUNCTION("""COMPUTED_VALUE"""),"Ocelots")</f>
        <v>Ocelots</v>
      </c>
      <c r="F25" s="119" t="str">
        <f>IFERROR(__xludf.DUMMYFUNCTION("""COMPUTED_VALUE"""),"Phoenix")</f>
        <v>Phoenix</v>
      </c>
      <c r="G25" s="107"/>
      <c r="H25" s="119" t="str">
        <f>IFERROR(__xludf.DUMMYFUNCTION("""COMPUTED_VALUE"""),"Primo")</f>
        <v>Primo</v>
      </c>
      <c r="I25" s="119" t="str">
        <f>IFERROR(__xludf.DUMMYFUNCTION("""COMPUTED_VALUE"""),"Liars")</f>
        <v>Liars</v>
      </c>
      <c r="J25" s="119" t="str">
        <f>IFERROR(__xludf.DUMMYFUNCTION("""COMPUTED_VALUE"""),"Howlers")</f>
        <v>Howlers</v>
      </c>
      <c r="K25" s="119" t="str">
        <f>IFERROR(__xludf.DUMMYFUNCTION("""COMPUTED_VALUE"""),"Lacuna")</f>
        <v>Lacuna</v>
      </c>
      <c r="L25" s="107"/>
      <c r="M25" s="119" t="str">
        <f>IFERROR(__xludf.DUMMYFUNCTION("""COMPUTED_VALUE"""),"Wind")</f>
        <v>Wind</v>
      </c>
      <c r="N25" s="119" t="str">
        <f>IFERROR(__xludf.DUMMYFUNCTION("""COMPUTED_VALUE"""),"Hue Heroes")</f>
        <v>Hue Heroes</v>
      </c>
      <c r="O25" s="119" t="str">
        <f>IFERROR(__xludf.DUMMYFUNCTION("""COMPUTED_VALUE"""),"Hammerheads")</f>
        <v>Hammerheads</v>
      </c>
      <c r="P25" s="119" t="str">
        <f>IFERROR(__xludf.DUMMYFUNCTION("""COMPUTED_VALUE"""),"Kitsune")</f>
        <v>Kitsune</v>
      </c>
      <c r="Q25" s="107"/>
      <c r="R25" s="119" t="str">
        <f>IFERROR(__xludf.DUMMYFUNCTION("""COMPUTED_VALUE"""),"Dracos")</f>
        <v>Dracos</v>
      </c>
      <c r="S25" s="119" t="str">
        <f>IFERROR(__xludf.DUMMYFUNCTION("""COMPUTED_VALUE"""),"Purrgatory")</f>
        <v>Purrgatory</v>
      </c>
      <c r="T25" s="119" t="str">
        <f>IFERROR(__xludf.DUMMYFUNCTION("""COMPUTED_VALUE"""),"Centuriones")</f>
        <v>Centuriones</v>
      </c>
      <c r="U25" s="119" t="str">
        <f>IFERROR(__xludf.DUMMYFUNCTION("""COMPUTED_VALUE"""),"Polar Bears")</f>
        <v>Polar Bears</v>
      </c>
      <c r="V25" s="143">
        <f>IFERROR(__xludf.DUMMYFUNCTION("""COMPUTED_VALUE"""),45959.0)</f>
        <v>45959</v>
      </c>
      <c r="W25" s="7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IFERROR(__xludf.DUMMYFUNCTION("""COMPUTED_VALUE"""),"Phoenix")</f>
        <v>Phoenix</v>
      </c>
      <c r="D26" s="119" t="str">
        <f>IFERROR(__xludf.DUMMYFUNCTION("""COMPUTED_VALUE"""),"Ocelots")</f>
        <v>Ocelots</v>
      </c>
      <c r="E26" s="119" t="str">
        <f>IFERROR(__xludf.DUMMYFUNCTION("""COMPUTED_VALUE"""),"Polar Ice")</f>
        <v>Polar Ice</v>
      </c>
      <c r="F26" s="119" t="str">
        <f>IFERROR(__xludf.DUMMYFUNCTION("""COMPUTED_VALUE"""),"Black Ice")</f>
        <v>Black Ice</v>
      </c>
      <c r="G26" s="107"/>
      <c r="H26" s="119" t="str">
        <f>IFERROR(__xludf.DUMMYFUNCTION("""COMPUTED_VALUE"""),"Lacuna")</f>
        <v>Lacuna</v>
      </c>
      <c r="I26" s="119" t="str">
        <f>IFERROR(__xludf.DUMMYFUNCTION("""COMPUTED_VALUE"""),"Howlers")</f>
        <v>Howlers</v>
      </c>
      <c r="J26" s="119" t="str">
        <f>IFERROR(__xludf.DUMMYFUNCTION("""COMPUTED_VALUE"""),"Liars")</f>
        <v>Liars</v>
      </c>
      <c r="K26" s="119" t="str">
        <f>IFERROR(__xludf.DUMMYFUNCTION("""COMPUTED_VALUE"""),"Primo")</f>
        <v>Primo</v>
      </c>
      <c r="L26" s="107"/>
      <c r="M26" s="119" t="str">
        <f>IFERROR(__xludf.DUMMYFUNCTION("""COMPUTED_VALUE"""),"Kitsune")</f>
        <v>Kitsune</v>
      </c>
      <c r="N26" s="119" t="str">
        <f>IFERROR(__xludf.DUMMYFUNCTION("""COMPUTED_VALUE"""),"Hammerheads")</f>
        <v>Hammerheads</v>
      </c>
      <c r="O26" s="119" t="str">
        <f>IFERROR(__xludf.DUMMYFUNCTION("""COMPUTED_VALUE"""),"Hue Heroes")</f>
        <v>Hue Heroes</v>
      </c>
      <c r="P26" s="119" t="str">
        <f>IFERROR(__xludf.DUMMYFUNCTION("""COMPUTED_VALUE"""),"Wind")</f>
        <v>Wind</v>
      </c>
      <c r="Q26" s="107"/>
      <c r="R26" s="119" t="str">
        <f>IFERROR(__xludf.DUMMYFUNCTION("""COMPUTED_VALUE"""),"Polar Bears")</f>
        <v>Polar Bears</v>
      </c>
      <c r="S26" s="119" t="str">
        <f>IFERROR(__xludf.DUMMYFUNCTION("""COMPUTED_VALUE"""),"Centuriones")</f>
        <v>Centuriones</v>
      </c>
      <c r="T26" s="119" t="str">
        <f>IFERROR(__xludf.DUMMYFUNCTION("""COMPUTED_VALUE"""),"Purrgatory")</f>
        <v>Purrgatory</v>
      </c>
      <c r="U26" s="119" t="str">
        <f>IFERROR(__xludf.DUMMYFUNCTION("""COMPUTED_VALUE"""),"Dracos")</f>
        <v>Dracos</v>
      </c>
      <c r="V26" s="143">
        <f>IFERROR(__xludf.DUMMYFUNCTION("""COMPUTED_VALUE"""),45964.0)</f>
        <v>45964</v>
      </c>
      <c r="W26" s="73"/>
    </row>
    <row r="27">
      <c r="A27" s="73"/>
      <c r="B27" s="55" t="str">
        <f>IFERROR(__xludf.DUMMYFUNCTION("""COMPUTED_VALUE"""),"Match Day 16")</f>
        <v>Match Day 16</v>
      </c>
      <c r="C27" s="118" t="str">
        <f>IFERROR(__xludf.DUMMYFUNCTION("""COMPUTED_VALUE"""),"Polar Ice")</f>
        <v>Polar Ice</v>
      </c>
      <c r="D27" s="119" t="str">
        <f>IFERROR(__xludf.DUMMYFUNCTION("""COMPUTED_VALUE"""),"Black Ice")</f>
        <v>Black Ice</v>
      </c>
      <c r="E27" s="119" t="str">
        <f>IFERROR(__xludf.DUMMYFUNCTION("""COMPUTED_VALUE"""),"Phoenix")</f>
        <v>Phoenix</v>
      </c>
      <c r="F27" s="119" t="str">
        <f>IFERROR(__xludf.DUMMYFUNCTION("""COMPUTED_VALUE"""),"Ocelots")</f>
        <v>Ocelots</v>
      </c>
      <c r="G27" s="107"/>
      <c r="H27" s="119" t="str">
        <f>IFERROR(__xludf.DUMMYFUNCTION("""COMPUTED_VALUE"""),"Liars")</f>
        <v>Liars</v>
      </c>
      <c r="I27" s="119" t="str">
        <f>IFERROR(__xludf.DUMMYFUNCTION("""COMPUTED_VALUE"""),"Primo")</f>
        <v>Primo</v>
      </c>
      <c r="J27" s="119" t="str">
        <f>IFERROR(__xludf.DUMMYFUNCTION("""COMPUTED_VALUE"""),"Lacuna")</f>
        <v>Lacuna</v>
      </c>
      <c r="K27" s="119" t="str">
        <f>IFERROR(__xludf.DUMMYFUNCTION("""COMPUTED_VALUE"""),"Howlers")</f>
        <v>Howlers</v>
      </c>
      <c r="L27" s="107"/>
      <c r="M27" s="119" t="str">
        <f>IFERROR(__xludf.DUMMYFUNCTION("""COMPUTED_VALUE"""),"Hue Heroes")</f>
        <v>Hue Heroes</v>
      </c>
      <c r="N27" s="119" t="str">
        <f>IFERROR(__xludf.DUMMYFUNCTION("""COMPUTED_VALUE"""),"Wind")</f>
        <v>Wind</v>
      </c>
      <c r="O27" s="119" t="str">
        <f>IFERROR(__xludf.DUMMYFUNCTION("""COMPUTED_VALUE"""),"Kitsune")</f>
        <v>Kitsune</v>
      </c>
      <c r="P27" s="119" t="str">
        <f>IFERROR(__xludf.DUMMYFUNCTION("""COMPUTED_VALUE"""),"Hammerheads")</f>
        <v>Hammerheads</v>
      </c>
      <c r="Q27" s="107"/>
      <c r="R27" s="119" t="str">
        <f>IFERROR(__xludf.DUMMYFUNCTION("""COMPUTED_VALUE"""),"Purrgatory")</f>
        <v>Purrgatory</v>
      </c>
      <c r="S27" s="119" t="str">
        <f>IFERROR(__xludf.DUMMYFUNCTION("""COMPUTED_VALUE"""),"Dracos")</f>
        <v>Dracos</v>
      </c>
      <c r="T27" s="119" t="str">
        <f>IFERROR(__xludf.DUMMYFUNCTION("""COMPUTED_VALUE"""),"Polar Bears")</f>
        <v>Polar Bears</v>
      </c>
      <c r="U27" s="119" t="str">
        <f>IFERROR(__xludf.DUMMYFUNCTION("""COMPUTED_VALUE"""),"Centuriones")</f>
        <v>Centuriones</v>
      </c>
      <c r="V27" s="143">
        <f>IFERROR(__xludf.DUMMYFUNCTION("""COMPUTED_VALUE"""),45966.0)</f>
        <v>45966</v>
      </c>
      <c r="W27" s="73"/>
    </row>
    <row r="28">
      <c r="A28" s="73"/>
      <c r="B28" s="141" t="str">
        <f>IFERROR(__xludf.DUMMYFUNCTION("""COMPUTED_VALUE"""),"Match Day 17")</f>
        <v>Match Day 17</v>
      </c>
      <c r="C28" s="144" t="str">
        <f>IFERROR(__xludf.DUMMYFUNCTION("""COMPUTED_VALUE"""),"Wild-Card (9:45 PM ET) / Quarterfinals (10:30 PM ET)")</f>
        <v>Wild-Card (9:45 PM ET) / Quarterfinals (10:30 PM ET)</v>
      </c>
      <c r="D28" s="27"/>
      <c r="E28" s="27"/>
      <c r="F28" s="27"/>
      <c r="G28" s="27"/>
      <c r="H28" s="27"/>
      <c r="I28" s="27"/>
      <c r="J28" s="27"/>
      <c r="K28" s="90"/>
      <c r="L28" s="145"/>
      <c r="M28" s="144" t="str">
        <f>IFERROR(__xludf.DUMMYFUNCTION("""COMPUTED_VALUE"""),"Wild-Card (9:45 PM ET) / Quarterfinals (10:30 PM ET)")</f>
        <v>Wild-Card (9:45 PM ET) / Quarterfinals (10:30 PM ET)</v>
      </c>
      <c r="N28" s="27"/>
      <c r="O28" s="27"/>
      <c r="P28" s="27"/>
      <c r="Q28" s="27"/>
      <c r="R28" s="27"/>
      <c r="S28" s="27"/>
      <c r="T28" s="27"/>
      <c r="U28" s="90"/>
      <c r="V28" s="143">
        <f>IFERROR(__xludf.DUMMYFUNCTION("""COMPUTED_VALUE"""),45971.0)</f>
        <v>45971</v>
      </c>
      <c r="W28" s="73"/>
    </row>
    <row r="29">
      <c r="A29" s="73"/>
      <c r="B29" s="141" t="str">
        <f>IFERROR(__xludf.DUMMYFUNCTION("""COMPUTED_VALUE"""),"Match Day 18")</f>
        <v>Match Day 18</v>
      </c>
      <c r="C29" s="144" t="str">
        <f>IFERROR(__xludf.DUMMYFUNCTION("""COMPUTED_VALUE"""),"Semifinals (10:00 PM ET)")</f>
        <v>Semifinals (10:00 PM ET)</v>
      </c>
      <c r="D29" s="27"/>
      <c r="E29" s="27"/>
      <c r="F29" s="27"/>
      <c r="G29" s="27"/>
      <c r="H29" s="27"/>
      <c r="I29" s="27"/>
      <c r="J29" s="27"/>
      <c r="K29" s="90"/>
      <c r="L29" s="145"/>
      <c r="M29" s="144" t="str">
        <f>IFERROR(__xludf.DUMMYFUNCTION("""COMPUTED_VALUE"""),"Semifinals (10:00 PM ET)")</f>
        <v>Semifinals (10:00 PM ET)</v>
      </c>
      <c r="N29" s="27"/>
      <c r="O29" s="27"/>
      <c r="P29" s="27"/>
      <c r="Q29" s="27"/>
      <c r="R29" s="27"/>
      <c r="S29" s="27"/>
      <c r="T29" s="27"/>
      <c r="U29" s="90"/>
      <c r="V29" s="143">
        <f>IFERROR(__xludf.DUMMYFUNCTION("""COMPUTED_VALUE"""),45973.0)</f>
        <v>45973</v>
      </c>
      <c r="W29" s="73"/>
    </row>
    <row r="30">
      <c r="A30" s="73"/>
      <c r="B30" s="141" t="str">
        <f>IFERROR(__xludf.DUMMYFUNCTION("""COMPUTED_VALUE"""),"Match Day 19")</f>
        <v>Match Day 19</v>
      </c>
      <c r="C30" s="144" t="str">
        <f>IFERROR(__xludf.DUMMYFUNCTION("""COMPUTED_VALUE"""),"Finals (9:30 PM ET)")</f>
        <v>Finals (9:30 PM ET)</v>
      </c>
      <c r="D30" s="27"/>
      <c r="E30" s="27"/>
      <c r="F30" s="27"/>
      <c r="G30" s="27"/>
      <c r="H30" s="27"/>
      <c r="I30" s="27"/>
      <c r="J30" s="27"/>
      <c r="K30" s="90"/>
      <c r="L30" s="145"/>
      <c r="M30" s="144" t="str">
        <f>IFERROR(__xludf.DUMMYFUNCTION("""COMPUTED_VALUE"""),"Finals (9:30 PM ET)")</f>
        <v>Finals (9:30 PM ET)</v>
      </c>
      <c r="N30" s="27"/>
      <c r="O30" s="27"/>
      <c r="P30" s="27"/>
      <c r="Q30" s="27"/>
      <c r="R30" s="27"/>
      <c r="S30" s="27"/>
      <c r="T30" s="27"/>
      <c r="U30" s="90"/>
      <c r="V30" s="143">
        <f>IFERROR(__xludf.DUMMYFUNCTION("""COMPUTED_VALUE"""),45978.0)</f>
        <v>45978</v>
      </c>
      <c r="W30" s="73"/>
    </row>
    <row r="31">
      <c r="A31" s="73"/>
      <c r="B31" s="73"/>
      <c r="C31" s="73"/>
      <c r="D31" s="73"/>
      <c r="E31" s="73"/>
      <c r="F31" s="73"/>
      <c r="G31" s="73"/>
      <c r="H31" s="73"/>
      <c r="I31" s="130"/>
      <c r="J31" s="130"/>
      <c r="K31" s="130"/>
      <c r="L31" s="130"/>
      <c r="M31" s="130"/>
      <c r="N31" s="130"/>
      <c r="O31" s="130"/>
      <c r="P31" s="73"/>
      <c r="Q31" s="73"/>
      <c r="R31" s="73"/>
      <c r="S31" s="73"/>
      <c r="T31" s="84"/>
      <c r="U31" s="84"/>
      <c r="V31" s="84"/>
      <c r="W31" s="73"/>
    </row>
    <row r="32">
      <c r="A32" s="73"/>
      <c r="B32" s="132" t="str">
        <f>IFERROR(__xludf.DUMMYFUNCTION("""COMPUTED_VALUE"""),"Preseason")</f>
        <v>Preseason</v>
      </c>
      <c r="C32" s="84"/>
      <c r="D32" s="73"/>
      <c r="E32" s="73"/>
      <c r="F32" s="73"/>
      <c r="G32" s="73"/>
      <c r="H32" s="73"/>
      <c r="I32" s="146"/>
      <c r="J32" s="146"/>
      <c r="K32" s="146"/>
      <c r="L32" s="146"/>
      <c r="M32" s="146"/>
      <c r="N32" s="146"/>
      <c r="O32" s="146"/>
      <c r="P32" s="73"/>
      <c r="Q32" s="73"/>
      <c r="R32" s="73"/>
      <c r="S32" s="84"/>
      <c r="T32" s="73"/>
      <c r="U32" s="73"/>
      <c r="V32" s="132" t="str">
        <f>IFERROR(__xludf.DUMMYFUNCTION("""COMPUTED_VALUE"""),"Preseason")</f>
        <v>Preseason</v>
      </c>
      <c r="W32" s="73"/>
    </row>
    <row r="33">
      <c r="A33" s="73"/>
      <c r="B33" s="96" t="str">
        <f>IFERROR(__xludf.DUMMYFUNCTION("""COMPUTED_VALUE"""),"In Division")</f>
        <v>In Division</v>
      </c>
      <c r="C33" s="84"/>
      <c r="D33" s="73"/>
      <c r="E33" s="73"/>
      <c r="F33" s="73"/>
      <c r="G33" s="73"/>
      <c r="H33" s="73"/>
      <c r="I33" s="146" t="str">
        <f>IFERROR(__xludf.DUMMYFUNCTION("""COMPUTED_VALUE"""),"Lunar Conference")</f>
        <v>Lunar Conference</v>
      </c>
      <c r="P33" s="73"/>
      <c r="Q33" s="73"/>
      <c r="R33" s="73"/>
      <c r="S33" s="84"/>
      <c r="T33" s="73"/>
      <c r="U33" s="73"/>
      <c r="V33" s="96" t="str">
        <f>IFERROR(__xludf.DUMMYFUNCTION("""COMPUTED_VALUE"""),"In Division")</f>
        <v>In Division</v>
      </c>
      <c r="W33" s="73"/>
    </row>
    <row r="34" ht="15.75" customHeight="1">
      <c r="A34" s="73"/>
      <c r="B34" s="78" t="str">
        <f>IFERROR(__xludf.DUMMYFUNCTION("""COMPUTED_VALUE"""),"In Conference")</f>
        <v>In Conference</v>
      </c>
      <c r="C34" s="130"/>
      <c r="D34" s="130"/>
      <c r="E34" s="130"/>
      <c r="F34" s="130"/>
      <c r="G34" s="130"/>
      <c r="H34" s="130"/>
      <c r="P34" s="130"/>
      <c r="Q34" s="130"/>
      <c r="R34" s="130"/>
      <c r="S34" s="130"/>
      <c r="T34" s="130"/>
      <c r="U34" s="130"/>
      <c r="V34" s="78" t="str">
        <f>IFERROR(__xludf.DUMMYFUNCTION("""COMPUTED_VALUE"""),"In Conference")</f>
        <v>In Conference</v>
      </c>
      <c r="W34" s="73"/>
    </row>
    <row r="35" ht="15.75" customHeight="1">
      <c r="A35" s="73"/>
      <c r="B35" s="97" t="str">
        <f>IFERROR(__xludf.DUMMYFUNCTION("""COMPUTED_VALUE"""),"Out of Conference")</f>
        <v>Out of Conference</v>
      </c>
      <c r="C35" s="135" t="str">
        <f>IFERROR(__xludf.DUMMYFUNCTION("""COMPUTED_VALUE"""),"Cloud Division")</f>
        <v>Cloud Division</v>
      </c>
      <c r="G35" s="136"/>
      <c r="H35" s="137" t="str">
        <f>IFERROR(__xludf.DUMMYFUNCTION("""COMPUTED_VALUE"""),"Ember Division")</f>
        <v>Ember Division</v>
      </c>
      <c r="L35" s="134"/>
      <c r="M35" s="138" t="str">
        <f>IFERROR(__xludf.DUMMYFUNCTION("""COMPUTED_VALUE"""),"Mountain Division")</f>
        <v>Mountain Division</v>
      </c>
      <c r="Q35" s="136"/>
      <c r="R35" s="139" t="str">
        <f>IFERROR(__xludf.DUMMYFUNCTION("""COMPUTED_VALUE"""),"Ocean Division")</f>
        <v>Ocean Division</v>
      </c>
      <c r="V35" s="97" t="str">
        <f>IFERROR(__xludf.DUMMYFUNCTION("""COMPUTED_VALUE"""),"Out of Conference")</f>
        <v>Out of Conference</v>
      </c>
      <c r="W35" s="73"/>
    </row>
    <row r="36">
      <c r="A36" s="73"/>
      <c r="B36" s="80" t="str">
        <f>IFERROR(__xludf.DUMMYFUNCTION("""COMPUTED_VALUE"""),"Playoffs")</f>
        <v>Playoffs</v>
      </c>
      <c r="C36" s="103" t="str">
        <f>IFERROR(__xludf.DUMMYFUNCTION("""COMPUTED_VALUE"""),"Tax Evaders")</f>
        <v>Tax Evaders</v>
      </c>
      <c r="D36" s="103" t="str">
        <f>IFERROR(__xludf.DUMMYFUNCTION("""COMPUTED_VALUE"""),"Asiago Arsonists")</f>
        <v>Asiago Arsonists</v>
      </c>
      <c r="E36" s="103" t="str">
        <f>IFERROR(__xludf.DUMMYFUNCTION("""COMPUTED_VALUE"""),"Ruthless Racket")</f>
        <v>Ruthless Racket</v>
      </c>
      <c r="F36" s="103" t="str">
        <f>IFERROR(__xludf.DUMMYFUNCTION("""COMPUTED_VALUE"""),"Lightning")</f>
        <v>Lightning</v>
      </c>
      <c r="G36" s="81"/>
      <c r="H36" s="103" t="str">
        <f>IFERROR(__xludf.DUMMYFUNCTION("""COMPUTED_VALUE"""),"Mining Legion")</f>
        <v>Mining Legion</v>
      </c>
      <c r="I36" s="103" t="str">
        <f>IFERROR(__xludf.DUMMYFUNCTION("""COMPUTED_VALUE"""),"Heavy Metal")</f>
        <v>Heavy Metal</v>
      </c>
      <c r="J36" s="103" t="str">
        <f>IFERROR(__xludf.DUMMYFUNCTION("""COMPUTED_VALUE"""),"Quasars")</f>
        <v>Quasars</v>
      </c>
      <c r="K36" s="103" t="str">
        <f>IFERROR(__xludf.DUMMYFUNCTION("""COMPUTED_VALUE"""),"Samurai")</f>
        <v>Samurai</v>
      </c>
      <c r="L36" s="103"/>
      <c r="M36" s="103" t="str">
        <f>IFERROR(__xludf.DUMMYFUNCTION("""COMPUTED_VALUE"""),"Hot Wings")</f>
        <v>Hot Wings</v>
      </c>
      <c r="N36" s="103" t="str">
        <f>IFERROR(__xludf.DUMMYFUNCTION("""COMPUTED_VALUE"""),"Phantoms")</f>
        <v>Phantoms</v>
      </c>
      <c r="O36" s="103" t="str">
        <f>IFERROR(__xludf.DUMMYFUNCTION("""COMPUTED_VALUE"""),"Scramjets")</f>
        <v>Scramjets</v>
      </c>
      <c r="P36" s="103" t="str">
        <f>IFERROR(__xludf.DUMMYFUNCTION("""COMPUTED_VALUE"""),"Nightfall")</f>
        <v>Nightfall</v>
      </c>
      <c r="Q36" s="103"/>
      <c r="R36" s="103" t="str">
        <f>IFERROR(__xludf.DUMMYFUNCTION("""COMPUTED_VALUE"""),"Barracudas")</f>
        <v>Barracudas</v>
      </c>
      <c r="S36" s="103" t="str">
        <f>IFERROR(__xludf.DUMMYFUNCTION("""COMPUTED_VALUE"""),"Hippos")</f>
        <v>Hippos</v>
      </c>
      <c r="T36" s="103" t="str">
        <f>IFERROR(__xludf.DUMMYFUNCTION("""COMPUTED_VALUE"""),"Gaboons")</f>
        <v>Gaboons</v>
      </c>
      <c r="U36" s="81" t="str">
        <f>IFERROR(__xludf.DUMMYFUNCTION("""COMPUTED_VALUE"""),"Guards")</f>
        <v>Guards</v>
      </c>
      <c r="V36" s="80" t="str">
        <f>IFERROR(__xludf.DUMMYFUNCTION("""COMPUTED_VALUE"""),"Playoffs")</f>
        <v>Playoffs</v>
      </c>
      <c r="W36" s="73"/>
    </row>
    <row r="37">
      <c r="A37" s="73"/>
      <c r="B37" s="141" t="str">
        <f>IFERROR(__xludf.DUMMYFUNCTION("""COMPUTED_VALUE"""),"Preseason 1")</f>
        <v>Preseason 1</v>
      </c>
      <c r="C37" s="82" t="str">
        <f>IFERROR(__xludf.DUMMYFUNCTION("""COMPUTED_VALUE"""),"Asiago Arsonists")</f>
        <v>Asiago Arsonists</v>
      </c>
      <c r="D37" s="83" t="str">
        <f>IFERROR(__xludf.DUMMYFUNCTION("""COMPUTED_VALUE"""),"Tax Evaders")</f>
        <v>Tax Evaders</v>
      </c>
      <c r="E37" s="83" t="str">
        <f>IFERROR(__xludf.DUMMYFUNCTION("""COMPUTED_VALUE"""),"Lightning")</f>
        <v>Lightning</v>
      </c>
      <c r="F37" s="83" t="str">
        <f>IFERROR(__xludf.DUMMYFUNCTION("""COMPUTED_VALUE"""),"Ruthless Racket")</f>
        <v>Ruthless Racket</v>
      </c>
      <c r="G37" s="107"/>
      <c r="H37" s="83" t="str">
        <f>IFERROR(__xludf.DUMMYFUNCTION("""COMPUTED_VALUE"""),"Heavy Metal")</f>
        <v>Heavy Metal</v>
      </c>
      <c r="I37" s="83" t="str">
        <f>IFERROR(__xludf.DUMMYFUNCTION("""COMPUTED_VALUE"""),"Mining Legion")</f>
        <v>Mining Legion</v>
      </c>
      <c r="J37" s="83" t="str">
        <f>IFERROR(__xludf.DUMMYFUNCTION("""COMPUTED_VALUE"""),"Samurai")</f>
        <v>Samurai</v>
      </c>
      <c r="K37" s="83" t="str">
        <f>IFERROR(__xludf.DUMMYFUNCTION("""COMPUTED_VALUE"""),"Quasars")</f>
        <v>Quasars</v>
      </c>
      <c r="L37" s="107"/>
      <c r="M37" s="83" t="str">
        <f>IFERROR(__xludf.DUMMYFUNCTION("""COMPUTED_VALUE"""),"Phantoms")</f>
        <v>Phantoms</v>
      </c>
      <c r="N37" s="83" t="str">
        <f>IFERROR(__xludf.DUMMYFUNCTION("""COMPUTED_VALUE"""),"Hot Wings")</f>
        <v>Hot Wings</v>
      </c>
      <c r="O37" s="83" t="str">
        <f>IFERROR(__xludf.DUMMYFUNCTION("""COMPUTED_VALUE"""),"Nightfall")</f>
        <v>Nightfall</v>
      </c>
      <c r="P37" s="83" t="str">
        <f>IFERROR(__xludf.DUMMYFUNCTION("""COMPUTED_VALUE"""),"Scramjets")</f>
        <v>Scramjets</v>
      </c>
      <c r="Q37" s="107"/>
      <c r="R37" s="83" t="str">
        <f>IFERROR(__xludf.DUMMYFUNCTION("""COMPUTED_VALUE"""),"Hippos")</f>
        <v>Hippos</v>
      </c>
      <c r="S37" s="83" t="str">
        <f>IFERROR(__xludf.DUMMYFUNCTION("""COMPUTED_VALUE"""),"Barracudas")</f>
        <v>Barracudas</v>
      </c>
      <c r="T37" s="83" t="str">
        <f>IFERROR(__xludf.DUMMYFUNCTION("""COMPUTED_VALUE"""),"Guards")</f>
        <v>Guards</v>
      </c>
      <c r="U37" s="83" t="str">
        <f>IFERROR(__xludf.DUMMYFUNCTION("""COMPUTED_VALUE"""),"Gaboons")</f>
        <v>Gaboons</v>
      </c>
      <c r="V37" s="143">
        <f>IFERROR(__xludf.DUMMYFUNCTION("""COMPUTED_VALUE"""),45896.0)</f>
        <v>45896</v>
      </c>
      <c r="W37" s="73"/>
    </row>
    <row r="38">
      <c r="A38" s="73"/>
      <c r="B38" s="141" t="str">
        <f>IFERROR(__xludf.DUMMYFUNCTION("""COMPUTED_VALUE"""),"Preseason 2")</f>
        <v>Preseason 2</v>
      </c>
      <c r="C38" s="82" t="str">
        <f>IFERROR(__xludf.DUMMYFUNCTION("""COMPUTED_VALUE"""),"Gaboons")</f>
        <v>Gaboons</v>
      </c>
      <c r="D38" s="83" t="str">
        <f>IFERROR(__xludf.DUMMYFUNCTION("""COMPUTED_VALUE"""),"Guards")</f>
        <v>Guards</v>
      </c>
      <c r="E38" s="83" t="str">
        <f>IFERROR(__xludf.DUMMYFUNCTION("""COMPUTED_VALUE"""),"Barracudas")</f>
        <v>Barracudas</v>
      </c>
      <c r="F38" s="83" t="str">
        <f>IFERROR(__xludf.DUMMYFUNCTION("""COMPUTED_VALUE"""),"Hippos")</f>
        <v>Hippos</v>
      </c>
      <c r="G38" s="133"/>
      <c r="H38" s="82" t="str">
        <f>IFERROR(__xludf.DUMMYFUNCTION("""COMPUTED_VALUE"""),"Scramjets")</f>
        <v>Scramjets</v>
      </c>
      <c r="I38" s="83" t="str">
        <f>IFERROR(__xludf.DUMMYFUNCTION("""COMPUTED_VALUE"""),"Nightfall")</f>
        <v>Nightfall</v>
      </c>
      <c r="J38" s="83" t="str">
        <f>IFERROR(__xludf.DUMMYFUNCTION("""COMPUTED_VALUE"""),"Hot Wings")</f>
        <v>Hot Wings</v>
      </c>
      <c r="K38" s="83" t="str">
        <f>IFERROR(__xludf.DUMMYFUNCTION("""COMPUTED_VALUE"""),"Phantoms")</f>
        <v>Phantoms</v>
      </c>
      <c r="L38" s="133"/>
      <c r="M38" s="82" t="str">
        <f>IFERROR(__xludf.DUMMYFUNCTION("""COMPUTED_VALUE"""),"Quasars")</f>
        <v>Quasars</v>
      </c>
      <c r="N38" s="83" t="str">
        <f>IFERROR(__xludf.DUMMYFUNCTION("""COMPUTED_VALUE"""),"Samurai")</f>
        <v>Samurai</v>
      </c>
      <c r="O38" s="83" t="str">
        <f>IFERROR(__xludf.DUMMYFUNCTION("""COMPUTED_VALUE"""),"Mining Legion")</f>
        <v>Mining Legion</v>
      </c>
      <c r="P38" s="83" t="str">
        <f>IFERROR(__xludf.DUMMYFUNCTION("""COMPUTED_VALUE"""),"Heavy Metal")</f>
        <v>Heavy Metal</v>
      </c>
      <c r="Q38" s="133"/>
      <c r="R38" s="82" t="str">
        <f>IFERROR(__xludf.DUMMYFUNCTION("""COMPUTED_VALUE"""),"Ruthless Racket")</f>
        <v>Ruthless Racket</v>
      </c>
      <c r="S38" s="83" t="str">
        <f>IFERROR(__xludf.DUMMYFUNCTION("""COMPUTED_VALUE"""),"Lightning")</f>
        <v>Lightning</v>
      </c>
      <c r="T38" s="83" t="str">
        <f>IFERROR(__xludf.DUMMYFUNCTION("""COMPUTED_VALUE"""),"Tax Evaders")</f>
        <v>Tax Evaders</v>
      </c>
      <c r="U38" s="83" t="str">
        <f>IFERROR(__xludf.DUMMYFUNCTION("""COMPUTED_VALUE"""),"Asiago Arsonists")</f>
        <v>Asiago Arsonists</v>
      </c>
      <c r="V38" s="143">
        <f>IFERROR(__xludf.DUMMYFUNCTION("""COMPUTED_VALUE"""),45903.0)</f>
        <v>45903</v>
      </c>
      <c r="W38" s="73"/>
    </row>
    <row r="39">
      <c r="A39" s="73"/>
      <c r="B39" s="141" t="str">
        <f>IFERROR(__xludf.DUMMYFUNCTION("""COMPUTED_VALUE"""),"Preseason 3")</f>
        <v>Preseason 3</v>
      </c>
      <c r="C39" s="82" t="str">
        <f>IFERROR(__xludf.DUMMYFUNCTION("""COMPUTED_VALUE"""),"Lacuna")</f>
        <v>Lacuna</v>
      </c>
      <c r="D39" s="83" t="str">
        <f>IFERROR(__xludf.DUMMYFUNCTION("""COMPUTED_VALUE"""),"Howlers")</f>
        <v>Howlers</v>
      </c>
      <c r="E39" s="83" t="str">
        <f>IFERROR(__xludf.DUMMYFUNCTION("""COMPUTED_VALUE"""),"Primo")</f>
        <v>Primo</v>
      </c>
      <c r="F39" s="83" t="str">
        <f>IFERROR(__xludf.DUMMYFUNCTION("""COMPUTED_VALUE"""),"Liars")</f>
        <v>Liars</v>
      </c>
      <c r="G39" s="133"/>
      <c r="H39" s="82" t="str">
        <f>IFERROR(__xludf.DUMMYFUNCTION("""COMPUTED_VALUE"""),"Phoenix")</f>
        <v>Phoenix</v>
      </c>
      <c r="I39" s="83" t="str">
        <f>IFERROR(__xludf.DUMMYFUNCTION("""COMPUTED_VALUE"""),"Ocelots")</f>
        <v>Ocelots</v>
      </c>
      <c r="J39" s="83" t="str">
        <f>IFERROR(__xludf.DUMMYFUNCTION("""COMPUTED_VALUE"""),"Black Ice")</f>
        <v>Black Ice</v>
      </c>
      <c r="K39" s="83" t="str">
        <f>IFERROR(__xludf.DUMMYFUNCTION("""COMPUTED_VALUE"""),"Polar Ice")</f>
        <v>Polar Ice</v>
      </c>
      <c r="L39" s="133"/>
      <c r="M39" s="82" t="str">
        <f>IFERROR(__xludf.DUMMYFUNCTION("""COMPUTED_VALUE"""),"Polar Bears")</f>
        <v>Polar Bears</v>
      </c>
      <c r="N39" s="83" t="str">
        <f>IFERROR(__xludf.DUMMYFUNCTION("""COMPUTED_VALUE"""),"Centuriones")</f>
        <v>Centuriones</v>
      </c>
      <c r="O39" s="83" t="str">
        <f>IFERROR(__xludf.DUMMYFUNCTION("""COMPUTED_VALUE"""),"Dracos")</f>
        <v>Dracos</v>
      </c>
      <c r="P39" s="83" t="str">
        <f>IFERROR(__xludf.DUMMYFUNCTION("""COMPUTED_VALUE"""),"Purrgatory")</f>
        <v>Purrgatory</v>
      </c>
      <c r="Q39" s="133"/>
      <c r="R39" s="82" t="str">
        <f>IFERROR(__xludf.DUMMYFUNCTION("""COMPUTED_VALUE"""),"Kitsune")</f>
        <v>Kitsune</v>
      </c>
      <c r="S39" s="83" t="str">
        <f>IFERROR(__xludf.DUMMYFUNCTION("""COMPUTED_VALUE"""),"Hammerheads")</f>
        <v>Hammerheads</v>
      </c>
      <c r="T39" s="83" t="str">
        <f>IFERROR(__xludf.DUMMYFUNCTION("""COMPUTED_VALUE"""),"Wind")</f>
        <v>Wind</v>
      </c>
      <c r="U39" s="83" t="str">
        <f>IFERROR(__xludf.DUMMYFUNCTION("""COMPUTED_VALUE"""),"Hue Heroes")</f>
        <v>Hue Heroes</v>
      </c>
      <c r="V39" s="143">
        <f>IFERROR(__xludf.DUMMYFUNCTION("""COMPUTED_VALUE"""),45908.0)</f>
        <v>45908</v>
      </c>
      <c r="W39" s="73"/>
    </row>
    <row r="40">
      <c r="A40" s="73"/>
      <c r="B40" s="55" t="str">
        <f>IFERROR(__xludf.DUMMYFUNCTION("""COMPUTED_VALUE"""),"Match Day 1")</f>
        <v>Match Day 1</v>
      </c>
      <c r="C40" s="85" t="str">
        <f>IFERROR(__xludf.DUMMYFUNCTION("""COMPUTED_VALUE"""),"Heavy Metal")</f>
        <v>Heavy Metal</v>
      </c>
      <c r="D40" s="86" t="str">
        <f>IFERROR(__xludf.DUMMYFUNCTION("""COMPUTED_VALUE"""),"Mining Legion")</f>
        <v>Mining Legion</v>
      </c>
      <c r="E40" s="86" t="str">
        <f>IFERROR(__xludf.DUMMYFUNCTION("""COMPUTED_VALUE"""),"Samurai")</f>
        <v>Samurai</v>
      </c>
      <c r="F40" s="86" t="str">
        <f>IFERROR(__xludf.DUMMYFUNCTION("""COMPUTED_VALUE"""),"Quasars")</f>
        <v>Quasars</v>
      </c>
      <c r="G40" s="114"/>
      <c r="H40" s="86" t="str">
        <f>IFERROR(__xludf.DUMMYFUNCTION("""COMPUTED_VALUE"""),"Asiago Arsonists")</f>
        <v>Asiago Arsonists</v>
      </c>
      <c r="I40" s="86" t="str">
        <f>IFERROR(__xludf.DUMMYFUNCTION("""COMPUTED_VALUE"""),"Tax Evaders")</f>
        <v>Tax Evaders</v>
      </c>
      <c r="J40" s="86" t="str">
        <f>IFERROR(__xludf.DUMMYFUNCTION("""COMPUTED_VALUE"""),"Lightning")</f>
        <v>Lightning</v>
      </c>
      <c r="K40" s="86" t="str">
        <f>IFERROR(__xludf.DUMMYFUNCTION("""COMPUTED_VALUE"""),"Ruthless Racket")</f>
        <v>Ruthless Racket</v>
      </c>
      <c r="L40" s="114"/>
      <c r="M40" s="86" t="str">
        <f>IFERROR(__xludf.DUMMYFUNCTION("""COMPUTED_VALUE"""),"Hippos")</f>
        <v>Hippos</v>
      </c>
      <c r="N40" s="86" t="str">
        <f>IFERROR(__xludf.DUMMYFUNCTION("""COMPUTED_VALUE"""),"Barracudas")</f>
        <v>Barracudas</v>
      </c>
      <c r="O40" s="86" t="str">
        <f>IFERROR(__xludf.DUMMYFUNCTION("""COMPUTED_VALUE"""),"Guards")</f>
        <v>Guards</v>
      </c>
      <c r="P40" s="86" t="str">
        <f>IFERROR(__xludf.DUMMYFUNCTION("""COMPUTED_VALUE"""),"Gaboons")</f>
        <v>Gaboons</v>
      </c>
      <c r="Q40" s="114"/>
      <c r="R40" s="86" t="str">
        <f>IFERROR(__xludf.DUMMYFUNCTION("""COMPUTED_VALUE"""),"Phantoms")</f>
        <v>Phantoms</v>
      </c>
      <c r="S40" s="86" t="str">
        <f>IFERROR(__xludf.DUMMYFUNCTION("""COMPUTED_VALUE"""),"Hot Wings")</f>
        <v>Hot Wings</v>
      </c>
      <c r="T40" s="86" t="str">
        <f>IFERROR(__xludf.DUMMYFUNCTION("""COMPUTED_VALUE"""),"Nightfall")</f>
        <v>Nightfall</v>
      </c>
      <c r="U40" s="86" t="str">
        <f>IFERROR(__xludf.DUMMYFUNCTION("""COMPUTED_VALUE"""),"Scramjets")</f>
        <v>Scramjets</v>
      </c>
      <c r="V40" s="143">
        <f>IFERROR(__xludf.DUMMYFUNCTION("""COMPUTED_VALUE"""),45910.0)</f>
        <v>45910</v>
      </c>
      <c r="W40" s="73"/>
    </row>
    <row r="41">
      <c r="A41" s="73"/>
      <c r="B41" s="55" t="str">
        <f>IFERROR(__xludf.DUMMYFUNCTION("""COMPUTED_VALUE"""),"Match Day 2")</f>
        <v>Match Day 2</v>
      </c>
      <c r="C41" s="87" t="str">
        <f>IFERROR(__xludf.DUMMYFUNCTION("""COMPUTED_VALUE"""),"Barracudas")</f>
        <v>Barracudas</v>
      </c>
      <c r="D41" s="88" t="str">
        <f>IFERROR(__xludf.DUMMYFUNCTION("""COMPUTED_VALUE"""),"Hippos")</f>
        <v>Hippos</v>
      </c>
      <c r="E41" s="88" t="str">
        <f>IFERROR(__xludf.DUMMYFUNCTION("""COMPUTED_VALUE"""),"Gaboons")</f>
        <v>Gaboons</v>
      </c>
      <c r="F41" s="88" t="str">
        <f>IFERROR(__xludf.DUMMYFUNCTION("""COMPUTED_VALUE"""),"Guards")</f>
        <v>Guards</v>
      </c>
      <c r="G41" s="107"/>
      <c r="H41" s="88" t="str">
        <f>IFERROR(__xludf.DUMMYFUNCTION("""COMPUTED_VALUE"""),"Hot Wings")</f>
        <v>Hot Wings</v>
      </c>
      <c r="I41" s="88" t="str">
        <f>IFERROR(__xludf.DUMMYFUNCTION("""COMPUTED_VALUE"""),"Phantoms")</f>
        <v>Phantoms</v>
      </c>
      <c r="J41" s="88" t="str">
        <f>IFERROR(__xludf.DUMMYFUNCTION("""COMPUTED_VALUE"""),"Scramjets")</f>
        <v>Scramjets</v>
      </c>
      <c r="K41" s="88" t="str">
        <f>IFERROR(__xludf.DUMMYFUNCTION("""COMPUTED_VALUE"""),"Nightfall")</f>
        <v>Nightfall</v>
      </c>
      <c r="L41" s="107"/>
      <c r="M41" s="88" t="str">
        <f>IFERROR(__xludf.DUMMYFUNCTION("""COMPUTED_VALUE"""),"Mining Legion")</f>
        <v>Mining Legion</v>
      </c>
      <c r="N41" s="88" t="str">
        <f>IFERROR(__xludf.DUMMYFUNCTION("""COMPUTED_VALUE"""),"Heavy Metal")</f>
        <v>Heavy Metal</v>
      </c>
      <c r="O41" s="88" t="str">
        <f>IFERROR(__xludf.DUMMYFUNCTION("""COMPUTED_VALUE"""),"Quasars")</f>
        <v>Quasars</v>
      </c>
      <c r="P41" s="88" t="str">
        <f>IFERROR(__xludf.DUMMYFUNCTION("""COMPUTED_VALUE"""),"Samurai")</f>
        <v>Samurai</v>
      </c>
      <c r="Q41" s="107"/>
      <c r="R41" s="88" t="str">
        <f>IFERROR(__xludf.DUMMYFUNCTION("""COMPUTED_VALUE"""),"Tax Evaders")</f>
        <v>Tax Evaders</v>
      </c>
      <c r="S41" s="88" t="str">
        <f>IFERROR(__xludf.DUMMYFUNCTION("""COMPUTED_VALUE"""),"Asiago Arsonists")</f>
        <v>Asiago Arsonists</v>
      </c>
      <c r="T41" s="88" t="str">
        <f>IFERROR(__xludf.DUMMYFUNCTION("""COMPUTED_VALUE"""),"Ruthless Racket")</f>
        <v>Ruthless Racket</v>
      </c>
      <c r="U41" s="88" t="str">
        <f>IFERROR(__xludf.DUMMYFUNCTION("""COMPUTED_VALUE"""),"Lightning")</f>
        <v>Lightning</v>
      </c>
      <c r="V41" s="143">
        <f>IFERROR(__xludf.DUMMYFUNCTION("""COMPUTED_VALUE"""),45915.0)</f>
        <v>45915</v>
      </c>
      <c r="W41" s="73"/>
    </row>
    <row r="42">
      <c r="A42" s="73"/>
      <c r="B42" s="55" t="str">
        <f>IFERROR(__xludf.DUMMYFUNCTION("""COMPUTED_VALUE"""),"Match Day 3")</f>
        <v>Match Day 3</v>
      </c>
      <c r="C42" s="118" t="str">
        <f>IFERROR(__xludf.DUMMYFUNCTION("""COMPUTED_VALUE"""),"Ruthless Racket")</f>
        <v>Ruthless Racket</v>
      </c>
      <c r="D42" s="119" t="str">
        <f>IFERROR(__xludf.DUMMYFUNCTION("""COMPUTED_VALUE"""),"Lightning")</f>
        <v>Lightning</v>
      </c>
      <c r="E42" s="119" t="str">
        <f>IFERROR(__xludf.DUMMYFUNCTION("""COMPUTED_VALUE"""),"Tax Evaders")</f>
        <v>Tax Evaders</v>
      </c>
      <c r="F42" s="119" t="str">
        <f>IFERROR(__xludf.DUMMYFUNCTION("""COMPUTED_VALUE"""),"Asiago Arsonists")</f>
        <v>Asiago Arsonists</v>
      </c>
      <c r="G42" s="107"/>
      <c r="H42" s="119" t="str">
        <f>IFERROR(__xludf.DUMMYFUNCTION("""COMPUTED_VALUE"""),"Quasars")</f>
        <v>Quasars</v>
      </c>
      <c r="I42" s="119" t="str">
        <f>IFERROR(__xludf.DUMMYFUNCTION("""COMPUTED_VALUE"""),"Samurai")</f>
        <v>Samurai</v>
      </c>
      <c r="J42" s="119" t="str">
        <f>IFERROR(__xludf.DUMMYFUNCTION("""COMPUTED_VALUE"""),"Mining Legion")</f>
        <v>Mining Legion</v>
      </c>
      <c r="K42" s="119" t="str">
        <f>IFERROR(__xludf.DUMMYFUNCTION("""COMPUTED_VALUE"""),"Heavy Metal")</f>
        <v>Heavy Metal</v>
      </c>
      <c r="L42" s="107"/>
      <c r="M42" s="119" t="str">
        <f>IFERROR(__xludf.DUMMYFUNCTION("""COMPUTED_VALUE"""),"Scramjets")</f>
        <v>Scramjets</v>
      </c>
      <c r="N42" s="119" t="str">
        <f>IFERROR(__xludf.DUMMYFUNCTION("""COMPUTED_VALUE"""),"Nightfall")</f>
        <v>Nightfall</v>
      </c>
      <c r="O42" s="119" t="str">
        <f>IFERROR(__xludf.DUMMYFUNCTION("""COMPUTED_VALUE"""),"Hot Wings")</f>
        <v>Hot Wings</v>
      </c>
      <c r="P42" s="119" t="str">
        <f>IFERROR(__xludf.DUMMYFUNCTION("""COMPUTED_VALUE"""),"Phantoms")</f>
        <v>Phantoms</v>
      </c>
      <c r="Q42" s="107"/>
      <c r="R42" s="119" t="str">
        <f>IFERROR(__xludf.DUMMYFUNCTION("""COMPUTED_VALUE"""),"Gaboons")</f>
        <v>Gaboons</v>
      </c>
      <c r="S42" s="119" t="str">
        <f>IFERROR(__xludf.DUMMYFUNCTION("""COMPUTED_VALUE"""),"Guards")</f>
        <v>Guards</v>
      </c>
      <c r="T42" s="119" t="str">
        <f>IFERROR(__xludf.DUMMYFUNCTION("""COMPUTED_VALUE"""),"Barracudas")</f>
        <v>Barracudas</v>
      </c>
      <c r="U42" s="119" t="str">
        <f>IFERROR(__xludf.DUMMYFUNCTION("""COMPUTED_VALUE"""),"Hippos")</f>
        <v>Hippos</v>
      </c>
      <c r="V42" s="143">
        <f>IFERROR(__xludf.DUMMYFUNCTION("""COMPUTED_VALUE"""),45917.0)</f>
        <v>45917</v>
      </c>
      <c r="W42" s="73"/>
    </row>
    <row r="43">
      <c r="A43" s="73"/>
      <c r="B43" s="55" t="str">
        <f>IFERROR(__xludf.DUMMYFUNCTION("""COMPUTED_VALUE"""),"Match Day 4")</f>
        <v>Match Day 4</v>
      </c>
      <c r="C43" s="118" t="str">
        <f>IFERROR(__xludf.DUMMYFUNCTION("""COMPUTED_VALUE"""),"Asiago Arsonists")</f>
        <v>Asiago Arsonists</v>
      </c>
      <c r="D43" s="119" t="str">
        <f>IFERROR(__xludf.DUMMYFUNCTION("""COMPUTED_VALUE"""),"Tax Evaders")</f>
        <v>Tax Evaders</v>
      </c>
      <c r="E43" s="119" t="str">
        <f>IFERROR(__xludf.DUMMYFUNCTION("""COMPUTED_VALUE"""),"Lightning")</f>
        <v>Lightning</v>
      </c>
      <c r="F43" s="119" t="str">
        <f>IFERROR(__xludf.DUMMYFUNCTION("""COMPUTED_VALUE"""),"Ruthless Racket")</f>
        <v>Ruthless Racket</v>
      </c>
      <c r="G43" s="107"/>
      <c r="H43" s="119" t="str">
        <f>IFERROR(__xludf.DUMMYFUNCTION("""COMPUTED_VALUE"""),"Heavy Metal")</f>
        <v>Heavy Metal</v>
      </c>
      <c r="I43" s="119" t="str">
        <f>IFERROR(__xludf.DUMMYFUNCTION("""COMPUTED_VALUE"""),"Mining Legion")</f>
        <v>Mining Legion</v>
      </c>
      <c r="J43" s="119" t="str">
        <f>IFERROR(__xludf.DUMMYFUNCTION("""COMPUTED_VALUE"""),"Samurai")</f>
        <v>Samurai</v>
      </c>
      <c r="K43" s="119" t="str">
        <f>IFERROR(__xludf.DUMMYFUNCTION("""COMPUTED_VALUE"""),"Quasars")</f>
        <v>Quasars</v>
      </c>
      <c r="L43" s="107"/>
      <c r="M43" s="119" t="str">
        <f>IFERROR(__xludf.DUMMYFUNCTION("""COMPUTED_VALUE"""),"Phantoms")</f>
        <v>Phantoms</v>
      </c>
      <c r="N43" s="119" t="str">
        <f>IFERROR(__xludf.DUMMYFUNCTION("""COMPUTED_VALUE"""),"Hot Wings")</f>
        <v>Hot Wings</v>
      </c>
      <c r="O43" s="119" t="str">
        <f>IFERROR(__xludf.DUMMYFUNCTION("""COMPUTED_VALUE"""),"Nightfall")</f>
        <v>Nightfall</v>
      </c>
      <c r="P43" s="119" t="str">
        <f>IFERROR(__xludf.DUMMYFUNCTION("""COMPUTED_VALUE"""),"Scramjets")</f>
        <v>Scramjets</v>
      </c>
      <c r="Q43" s="107"/>
      <c r="R43" s="119" t="str">
        <f>IFERROR(__xludf.DUMMYFUNCTION("""COMPUTED_VALUE"""),"Hippos")</f>
        <v>Hippos</v>
      </c>
      <c r="S43" s="119" t="str">
        <f>IFERROR(__xludf.DUMMYFUNCTION("""COMPUTED_VALUE"""),"Barracudas")</f>
        <v>Barracudas</v>
      </c>
      <c r="T43" s="119" t="str">
        <f>IFERROR(__xludf.DUMMYFUNCTION("""COMPUTED_VALUE"""),"Guards")</f>
        <v>Guards</v>
      </c>
      <c r="U43" s="119" t="str">
        <f>IFERROR(__xludf.DUMMYFUNCTION("""COMPUTED_VALUE"""),"Gaboons")</f>
        <v>Gaboons</v>
      </c>
      <c r="V43" s="143">
        <f>IFERROR(__xludf.DUMMYFUNCTION("""COMPUTED_VALUE"""),45922.0)</f>
        <v>45922</v>
      </c>
      <c r="W43" s="73"/>
    </row>
    <row r="44">
      <c r="A44" s="73"/>
      <c r="B44" s="55" t="str">
        <f>IFERROR(__xludf.DUMMYFUNCTION("""COMPUTED_VALUE"""),"Match Day 5")</f>
        <v>Match Day 5</v>
      </c>
      <c r="C44" s="118" t="str">
        <f>IFERROR(__xludf.DUMMYFUNCTION("""COMPUTED_VALUE"""),"Lightning")</f>
        <v>Lightning</v>
      </c>
      <c r="D44" s="119" t="str">
        <f>IFERROR(__xludf.DUMMYFUNCTION("""COMPUTED_VALUE"""),"Ruthless Racket")</f>
        <v>Ruthless Racket</v>
      </c>
      <c r="E44" s="119" t="str">
        <f>IFERROR(__xludf.DUMMYFUNCTION("""COMPUTED_VALUE"""),"Asiago Arsonists")</f>
        <v>Asiago Arsonists</v>
      </c>
      <c r="F44" s="119" t="str">
        <f>IFERROR(__xludf.DUMMYFUNCTION("""COMPUTED_VALUE"""),"Tax Evaders")</f>
        <v>Tax Evaders</v>
      </c>
      <c r="G44" s="107"/>
      <c r="H44" s="119" t="str">
        <f>IFERROR(__xludf.DUMMYFUNCTION("""COMPUTED_VALUE"""),"Samurai")</f>
        <v>Samurai</v>
      </c>
      <c r="I44" s="119" t="str">
        <f>IFERROR(__xludf.DUMMYFUNCTION("""COMPUTED_VALUE"""),"Quasars")</f>
        <v>Quasars</v>
      </c>
      <c r="J44" s="119" t="str">
        <f>IFERROR(__xludf.DUMMYFUNCTION("""COMPUTED_VALUE"""),"Heavy Metal")</f>
        <v>Heavy Metal</v>
      </c>
      <c r="K44" s="119" t="str">
        <f>IFERROR(__xludf.DUMMYFUNCTION("""COMPUTED_VALUE"""),"Mining Legion")</f>
        <v>Mining Legion</v>
      </c>
      <c r="L44" s="107"/>
      <c r="M44" s="119" t="str">
        <f>IFERROR(__xludf.DUMMYFUNCTION("""COMPUTED_VALUE"""),"Nightfall")</f>
        <v>Nightfall</v>
      </c>
      <c r="N44" s="119" t="str">
        <f>IFERROR(__xludf.DUMMYFUNCTION("""COMPUTED_VALUE"""),"Scramjets")</f>
        <v>Scramjets</v>
      </c>
      <c r="O44" s="119" t="str">
        <f>IFERROR(__xludf.DUMMYFUNCTION("""COMPUTED_VALUE"""),"Phantoms")</f>
        <v>Phantoms</v>
      </c>
      <c r="P44" s="119" t="str">
        <f>IFERROR(__xludf.DUMMYFUNCTION("""COMPUTED_VALUE"""),"Hot Wings")</f>
        <v>Hot Wings</v>
      </c>
      <c r="Q44" s="107"/>
      <c r="R44" s="119" t="str">
        <f>IFERROR(__xludf.DUMMYFUNCTION("""COMPUTED_VALUE"""),"Guards")</f>
        <v>Guards</v>
      </c>
      <c r="S44" s="119" t="str">
        <f>IFERROR(__xludf.DUMMYFUNCTION("""COMPUTED_VALUE"""),"Gaboons")</f>
        <v>Gaboons</v>
      </c>
      <c r="T44" s="119" t="str">
        <f>IFERROR(__xludf.DUMMYFUNCTION("""COMPUTED_VALUE"""),"Hippos")</f>
        <v>Hippos</v>
      </c>
      <c r="U44" s="119" t="str">
        <f>IFERROR(__xludf.DUMMYFUNCTION("""COMPUTED_VALUE"""),"Barracudas")</f>
        <v>Barracudas</v>
      </c>
      <c r="V44" s="143">
        <f>IFERROR(__xludf.DUMMYFUNCTION("""COMPUTED_VALUE"""),45924.0)</f>
        <v>45924</v>
      </c>
      <c r="W44" s="73"/>
    </row>
    <row r="45">
      <c r="A45" s="73"/>
      <c r="B45" s="55" t="str">
        <f>IFERROR(__xludf.DUMMYFUNCTION("""COMPUTED_VALUE"""),"Match Day 6")</f>
        <v>Match Day 6</v>
      </c>
      <c r="C45" s="121" t="str">
        <f>IFERROR(__xludf.DUMMYFUNCTION("""COMPUTED_VALUE"""),"Ocelots")</f>
        <v>Ocelots</v>
      </c>
      <c r="D45" s="122" t="str">
        <f>IFERROR(__xludf.DUMMYFUNCTION("""COMPUTED_VALUE"""),"Phoenix")</f>
        <v>Phoenix</v>
      </c>
      <c r="E45" s="122" t="str">
        <f>IFERROR(__xludf.DUMMYFUNCTION("""COMPUTED_VALUE"""),"Polar Ice")</f>
        <v>Polar Ice</v>
      </c>
      <c r="F45" s="122" t="str">
        <f>IFERROR(__xludf.DUMMYFUNCTION("""COMPUTED_VALUE"""),"Black Ice")</f>
        <v>Black Ice</v>
      </c>
      <c r="G45" s="107"/>
      <c r="H45" s="122" t="str">
        <f>IFERROR(__xludf.DUMMYFUNCTION("""COMPUTED_VALUE"""),"Howlers")</f>
        <v>Howlers</v>
      </c>
      <c r="I45" s="122" t="str">
        <f>IFERROR(__xludf.DUMMYFUNCTION("""COMPUTED_VALUE"""),"Lacuna")</f>
        <v>Lacuna</v>
      </c>
      <c r="J45" s="122" t="str">
        <f>IFERROR(__xludf.DUMMYFUNCTION("""COMPUTED_VALUE"""),"Liars")</f>
        <v>Liars</v>
      </c>
      <c r="K45" s="122" t="str">
        <f>IFERROR(__xludf.DUMMYFUNCTION("""COMPUTED_VALUE"""),"Primo")</f>
        <v>Primo</v>
      </c>
      <c r="L45" s="107"/>
      <c r="M45" s="122" t="str">
        <f>IFERROR(__xludf.DUMMYFUNCTION("""COMPUTED_VALUE"""),"Hammerheads")</f>
        <v>Hammerheads</v>
      </c>
      <c r="N45" s="122" t="str">
        <f>IFERROR(__xludf.DUMMYFUNCTION("""COMPUTED_VALUE"""),"Kitsune")</f>
        <v>Kitsune</v>
      </c>
      <c r="O45" s="122" t="str">
        <f>IFERROR(__xludf.DUMMYFUNCTION("""COMPUTED_VALUE"""),"Hue Heroes")</f>
        <v>Hue Heroes</v>
      </c>
      <c r="P45" s="122" t="str">
        <f>IFERROR(__xludf.DUMMYFUNCTION("""COMPUTED_VALUE"""),"Wind")</f>
        <v>Wind</v>
      </c>
      <c r="Q45" s="107"/>
      <c r="R45" s="122" t="str">
        <f>IFERROR(__xludf.DUMMYFUNCTION("""COMPUTED_VALUE"""),"Centuriones")</f>
        <v>Centuriones</v>
      </c>
      <c r="S45" s="122" t="str">
        <f>IFERROR(__xludf.DUMMYFUNCTION("""COMPUTED_VALUE"""),"Polar Bears")</f>
        <v>Polar Bears</v>
      </c>
      <c r="T45" s="122" t="str">
        <f>IFERROR(__xludf.DUMMYFUNCTION("""COMPUTED_VALUE"""),"Purrgatory")</f>
        <v>Purrgatory</v>
      </c>
      <c r="U45" s="122" t="str">
        <f>IFERROR(__xludf.DUMMYFUNCTION("""COMPUTED_VALUE"""),"Dracos")</f>
        <v>Dracos</v>
      </c>
      <c r="V45" s="143">
        <f>IFERROR(__xludf.DUMMYFUNCTION("""COMPUTED_VALUE"""),45929.0)</f>
        <v>45929</v>
      </c>
      <c r="W45" s="73"/>
    </row>
    <row r="46">
      <c r="A46" s="73"/>
      <c r="B46" s="55" t="str">
        <f>IFERROR(__xludf.DUMMYFUNCTION("""COMPUTED_VALUE"""),"Match Day 7")</f>
        <v>Match Day 7</v>
      </c>
      <c r="C46" s="121" t="str">
        <f>IFERROR(__xludf.DUMMYFUNCTION("""COMPUTED_VALUE"""),"Phoenix")</f>
        <v>Phoenix</v>
      </c>
      <c r="D46" s="122" t="str">
        <f>IFERROR(__xludf.DUMMYFUNCTION("""COMPUTED_VALUE"""),"Ocelots")</f>
        <v>Ocelots</v>
      </c>
      <c r="E46" s="122" t="str">
        <f>IFERROR(__xludf.DUMMYFUNCTION("""COMPUTED_VALUE"""),"Black Ice")</f>
        <v>Black Ice</v>
      </c>
      <c r="F46" s="122" t="str">
        <f>IFERROR(__xludf.DUMMYFUNCTION("""COMPUTED_VALUE"""),"Polar Ice")</f>
        <v>Polar Ice</v>
      </c>
      <c r="G46" s="107"/>
      <c r="H46" s="122" t="str">
        <f>IFERROR(__xludf.DUMMYFUNCTION("""COMPUTED_VALUE"""),"Lacuna")</f>
        <v>Lacuna</v>
      </c>
      <c r="I46" s="122" t="str">
        <f>IFERROR(__xludf.DUMMYFUNCTION("""COMPUTED_VALUE"""),"Howlers")</f>
        <v>Howlers</v>
      </c>
      <c r="J46" s="122" t="str">
        <f>IFERROR(__xludf.DUMMYFUNCTION("""COMPUTED_VALUE"""),"Primo")</f>
        <v>Primo</v>
      </c>
      <c r="K46" s="122" t="str">
        <f>IFERROR(__xludf.DUMMYFUNCTION("""COMPUTED_VALUE"""),"Liars")</f>
        <v>Liars</v>
      </c>
      <c r="L46" s="107"/>
      <c r="M46" s="122" t="str">
        <f>IFERROR(__xludf.DUMMYFUNCTION("""COMPUTED_VALUE"""),"Kitsune")</f>
        <v>Kitsune</v>
      </c>
      <c r="N46" s="122" t="str">
        <f>IFERROR(__xludf.DUMMYFUNCTION("""COMPUTED_VALUE"""),"Hammerheads")</f>
        <v>Hammerheads</v>
      </c>
      <c r="O46" s="122" t="str">
        <f>IFERROR(__xludf.DUMMYFUNCTION("""COMPUTED_VALUE"""),"Wind")</f>
        <v>Wind</v>
      </c>
      <c r="P46" s="122" t="str">
        <f>IFERROR(__xludf.DUMMYFUNCTION("""COMPUTED_VALUE"""),"Hue Heroes")</f>
        <v>Hue Heroes</v>
      </c>
      <c r="Q46" s="107"/>
      <c r="R46" s="122" t="str">
        <f>IFERROR(__xludf.DUMMYFUNCTION("""COMPUTED_VALUE"""),"Polar Bears")</f>
        <v>Polar Bears</v>
      </c>
      <c r="S46" s="122" t="str">
        <f>IFERROR(__xludf.DUMMYFUNCTION("""COMPUTED_VALUE"""),"Centuriones")</f>
        <v>Centuriones</v>
      </c>
      <c r="T46" s="122" t="str">
        <f>IFERROR(__xludf.DUMMYFUNCTION("""COMPUTED_VALUE"""),"Dracos")</f>
        <v>Dracos</v>
      </c>
      <c r="U46" s="122" t="str">
        <f>IFERROR(__xludf.DUMMYFUNCTION("""COMPUTED_VALUE"""),"Purrgatory")</f>
        <v>Purrgatory</v>
      </c>
      <c r="V46" s="143">
        <f>IFERROR(__xludf.DUMMYFUNCTION("""COMPUTED_VALUE"""),45931.0)</f>
        <v>45931</v>
      </c>
      <c r="W46" s="73"/>
    </row>
    <row r="47">
      <c r="A47" s="73"/>
      <c r="B47" s="55" t="str">
        <f>IFERROR(__xludf.DUMMYFUNCTION("""COMPUTED_VALUE"""),"Match Day 8")</f>
        <v>Match Day 8</v>
      </c>
      <c r="C47" s="121" t="str">
        <f>IFERROR(__xludf.DUMMYFUNCTION("""COMPUTED_VALUE"""),"Polar Ice")</f>
        <v>Polar Ice</v>
      </c>
      <c r="D47" s="122" t="str">
        <f>IFERROR(__xludf.DUMMYFUNCTION("""COMPUTED_VALUE"""),"Black Ice")</f>
        <v>Black Ice</v>
      </c>
      <c r="E47" s="122" t="str">
        <f>IFERROR(__xludf.DUMMYFUNCTION("""COMPUTED_VALUE"""),"Ocelots")</f>
        <v>Ocelots</v>
      </c>
      <c r="F47" s="122" t="str">
        <f>IFERROR(__xludf.DUMMYFUNCTION("""COMPUTED_VALUE"""),"Phoenix")</f>
        <v>Phoenix</v>
      </c>
      <c r="G47" s="107"/>
      <c r="H47" s="122" t="str">
        <f>IFERROR(__xludf.DUMMYFUNCTION("""COMPUTED_VALUE"""),"Liars")</f>
        <v>Liars</v>
      </c>
      <c r="I47" s="122" t="str">
        <f>IFERROR(__xludf.DUMMYFUNCTION("""COMPUTED_VALUE"""),"Primo")</f>
        <v>Primo</v>
      </c>
      <c r="J47" s="122" t="str">
        <f>IFERROR(__xludf.DUMMYFUNCTION("""COMPUTED_VALUE"""),"Howlers")</f>
        <v>Howlers</v>
      </c>
      <c r="K47" s="122" t="str">
        <f>IFERROR(__xludf.DUMMYFUNCTION("""COMPUTED_VALUE"""),"Lacuna")</f>
        <v>Lacuna</v>
      </c>
      <c r="L47" s="107"/>
      <c r="M47" s="122" t="str">
        <f>IFERROR(__xludf.DUMMYFUNCTION("""COMPUTED_VALUE"""),"Hue Heroes")</f>
        <v>Hue Heroes</v>
      </c>
      <c r="N47" s="122" t="str">
        <f>IFERROR(__xludf.DUMMYFUNCTION("""COMPUTED_VALUE"""),"Wind")</f>
        <v>Wind</v>
      </c>
      <c r="O47" s="122" t="str">
        <f>IFERROR(__xludf.DUMMYFUNCTION("""COMPUTED_VALUE"""),"Hammerheads")</f>
        <v>Hammerheads</v>
      </c>
      <c r="P47" s="122" t="str">
        <f>IFERROR(__xludf.DUMMYFUNCTION("""COMPUTED_VALUE"""),"Kitsune")</f>
        <v>Kitsune</v>
      </c>
      <c r="Q47" s="107"/>
      <c r="R47" s="122" t="str">
        <f>IFERROR(__xludf.DUMMYFUNCTION("""COMPUTED_VALUE"""),"Purrgatory")</f>
        <v>Purrgatory</v>
      </c>
      <c r="S47" s="122" t="str">
        <f>IFERROR(__xludf.DUMMYFUNCTION("""COMPUTED_VALUE"""),"Dracos")</f>
        <v>Dracos</v>
      </c>
      <c r="T47" s="122" t="str">
        <f>IFERROR(__xludf.DUMMYFUNCTION("""COMPUTED_VALUE"""),"Centuriones")</f>
        <v>Centuriones</v>
      </c>
      <c r="U47" s="122" t="str">
        <f>IFERROR(__xludf.DUMMYFUNCTION("""COMPUTED_VALUE"""),"Polar Bears")</f>
        <v>Polar Bears</v>
      </c>
      <c r="V47" s="143">
        <f>IFERROR(__xludf.DUMMYFUNCTION("""COMPUTED_VALUE"""),45936.0)</f>
        <v>45936</v>
      </c>
      <c r="W47" s="73"/>
    </row>
    <row r="48">
      <c r="A48" s="73"/>
      <c r="B48" s="67" t="str">
        <f>IFERROR(__xludf.DUMMYFUNCTION("""COMPUTED_VALUE"""),"Match Day 9")</f>
        <v>Match Day 9</v>
      </c>
      <c r="C48" s="121" t="str">
        <f>IFERROR(__xludf.DUMMYFUNCTION("""COMPUTED_VALUE"""),"Black Ice")</f>
        <v>Black Ice</v>
      </c>
      <c r="D48" s="122" t="str">
        <f>IFERROR(__xludf.DUMMYFUNCTION("""COMPUTED_VALUE"""),"Polar Ice")</f>
        <v>Polar Ice</v>
      </c>
      <c r="E48" s="122" t="str">
        <f>IFERROR(__xludf.DUMMYFUNCTION("""COMPUTED_VALUE"""),"Phoenix")</f>
        <v>Phoenix</v>
      </c>
      <c r="F48" s="122" t="str">
        <f>IFERROR(__xludf.DUMMYFUNCTION("""COMPUTED_VALUE"""),"Ocelots")</f>
        <v>Ocelots</v>
      </c>
      <c r="G48" s="107"/>
      <c r="H48" s="122" t="str">
        <f>IFERROR(__xludf.DUMMYFUNCTION("""COMPUTED_VALUE"""),"Primo")</f>
        <v>Primo</v>
      </c>
      <c r="I48" s="122" t="str">
        <f>IFERROR(__xludf.DUMMYFUNCTION("""COMPUTED_VALUE"""),"Liars")</f>
        <v>Liars</v>
      </c>
      <c r="J48" s="122" t="str">
        <f>IFERROR(__xludf.DUMMYFUNCTION("""COMPUTED_VALUE"""),"Lacuna")</f>
        <v>Lacuna</v>
      </c>
      <c r="K48" s="122" t="str">
        <f>IFERROR(__xludf.DUMMYFUNCTION("""COMPUTED_VALUE"""),"Howlers")</f>
        <v>Howlers</v>
      </c>
      <c r="L48" s="107"/>
      <c r="M48" s="122" t="str">
        <f>IFERROR(__xludf.DUMMYFUNCTION("""COMPUTED_VALUE"""),"Wind")</f>
        <v>Wind</v>
      </c>
      <c r="N48" s="122" t="str">
        <f>IFERROR(__xludf.DUMMYFUNCTION("""COMPUTED_VALUE"""),"Hue Heroes")</f>
        <v>Hue Heroes</v>
      </c>
      <c r="O48" s="122" t="str">
        <f>IFERROR(__xludf.DUMMYFUNCTION("""COMPUTED_VALUE"""),"Kitsune")</f>
        <v>Kitsune</v>
      </c>
      <c r="P48" s="122" t="str">
        <f>IFERROR(__xludf.DUMMYFUNCTION("""COMPUTED_VALUE"""),"Hammerheads")</f>
        <v>Hammerheads</v>
      </c>
      <c r="Q48" s="107"/>
      <c r="R48" s="122" t="str">
        <f>IFERROR(__xludf.DUMMYFUNCTION("""COMPUTED_VALUE"""),"Dracos")</f>
        <v>Dracos</v>
      </c>
      <c r="S48" s="122" t="str">
        <f>IFERROR(__xludf.DUMMYFUNCTION("""COMPUTED_VALUE"""),"Purrgatory")</f>
        <v>Purrgatory</v>
      </c>
      <c r="T48" s="122" t="str">
        <f>IFERROR(__xludf.DUMMYFUNCTION("""COMPUTED_VALUE"""),"Polar Bears")</f>
        <v>Polar Bears</v>
      </c>
      <c r="U48" s="122" t="str">
        <f>IFERROR(__xludf.DUMMYFUNCTION("""COMPUTED_VALUE"""),"Centuriones")</f>
        <v>Centuriones</v>
      </c>
      <c r="V48" s="143">
        <f>IFERROR(__xludf.DUMMYFUNCTION("""COMPUTED_VALUE"""),45938.0)</f>
        <v>45938</v>
      </c>
      <c r="W48" s="73"/>
    </row>
    <row r="49">
      <c r="A49" s="73"/>
      <c r="B49" s="55" t="str">
        <f>IFERROR(__xludf.DUMMYFUNCTION("""COMPUTED_VALUE"""),"Match Day 10")</f>
        <v>Match Day 10</v>
      </c>
      <c r="C49" s="87" t="str">
        <f>IFERROR(__xludf.DUMMYFUNCTION("""COMPUTED_VALUE"""),"Hot Wings")</f>
        <v>Hot Wings</v>
      </c>
      <c r="D49" s="88" t="str">
        <f>IFERROR(__xludf.DUMMYFUNCTION("""COMPUTED_VALUE"""),"Phantoms")</f>
        <v>Phantoms</v>
      </c>
      <c r="E49" s="88" t="str">
        <f>IFERROR(__xludf.DUMMYFUNCTION("""COMPUTED_VALUE"""),"Scramjets")</f>
        <v>Scramjets</v>
      </c>
      <c r="F49" s="88" t="str">
        <f>IFERROR(__xludf.DUMMYFUNCTION("""COMPUTED_VALUE"""),"Nightfall")</f>
        <v>Nightfall</v>
      </c>
      <c r="G49" s="107"/>
      <c r="H49" s="88" t="str">
        <f>IFERROR(__xludf.DUMMYFUNCTION("""COMPUTED_VALUE"""),"Barracudas")</f>
        <v>Barracudas</v>
      </c>
      <c r="I49" s="88" t="str">
        <f>IFERROR(__xludf.DUMMYFUNCTION("""COMPUTED_VALUE"""),"Hippos")</f>
        <v>Hippos</v>
      </c>
      <c r="J49" s="88" t="str">
        <f>IFERROR(__xludf.DUMMYFUNCTION("""COMPUTED_VALUE"""),"Gaboons")</f>
        <v>Gaboons</v>
      </c>
      <c r="K49" s="88" t="str">
        <f>IFERROR(__xludf.DUMMYFUNCTION("""COMPUTED_VALUE"""),"Guards")</f>
        <v>Guards</v>
      </c>
      <c r="L49" s="107"/>
      <c r="M49" s="88" t="str">
        <f>IFERROR(__xludf.DUMMYFUNCTION("""COMPUTED_VALUE"""),"Tax Evaders")</f>
        <v>Tax Evaders</v>
      </c>
      <c r="N49" s="88" t="str">
        <f>IFERROR(__xludf.DUMMYFUNCTION("""COMPUTED_VALUE"""),"Asiago Arsonists")</f>
        <v>Asiago Arsonists</v>
      </c>
      <c r="O49" s="88" t="str">
        <f>IFERROR(__xludf.DUMMYFUNCTION("""COMPUTED_VALUE"""),"Ruthless Racket")</f>
        <v>Ruthless Racket</v>
      </c>
      <c r="P49" s="88" t="str">
        <f>IFERROR(__xludf.DUMMYFUNCTION("""COMPUTED_VALUE"""),"Lightning")</f>
        <v>Lightning</v>
      </c>
      <c r="Q49" s="107"/>
      <c r="R49" s="88" t="str">
        <f>IFERROR(__xludf.DUMMYFUNCTION("""COMPUTED_VALUE"""),"Mining Legion")</f>
        <v>Mining Legion</v>
      </c>
      <c r="S49" s="88" t="str">
        <f>IFERROR(__xludf.DUMMYFUNCTION("""COMPUTED_VALUE"""),"Heavy Metal")</f>
        <v>Heavy Metal</v>
      </c>
      <c r="T49" s="88" t="str">
        <f>IFERROR(__xludf.DUMMYFUNCTION("""COMPUTED_VALUE"""),"Quasars")</f>
        <v>Quasars</v>
      </c>
      <c r="U49" s="88" t="str">
        <f>IFERROR(__xludf.DUMMYFUNCTION("""COMPUTED_VALUE"""),"Samurai")</f>
        <v>Samurai</v>
      </c>
      <c r="V49" s="143">
        <f>IFERROR(__xludf.DUMMYFUNCTION("""COMPUTED_VALUE"""),45945.0)</f>
        <v>45945</v>
      </c>
      <c r="W49" s="73"/>
    </row>
    <row r="50">
      <c r="A50" s="73"/>
      <c r="B50" s="55" t="str">
        <f>IFERROR(__xludf.DUMMYFUNCTION("""COMPUTED_VALUE"""),"Match Day 11")</f>
        <v>Match Day 11</v>
      </c>
      <c r="C50" s="87" t="str">
        <f>IFERROR(__xludf.DUMMYFUNCTION("""COMPUTED_VALUE"""),"Phantoms")</f>
        <v>Phantoms</v>
      </c>
      <c r="D50" s="88" t="str">
        <f>IFERROR(__xludf.DUMMYFUNCTION("""COMPUTED_VALUE"""),"Hot Wings")</f>
        <v>Hot Wings</v>
      </c>
      <c r="E50" s="88" t="str">
        <f>IFERROR(__xludf.DUMMYFUNCTION("""COMPUTED_VALUE"""),"Nightfall")</f>
        <v>Nightfall</v>
      </c>
      <c r="F50" s="88" t="str">
        <f>IFERROR(__xludf.DUMMYFUNCTION("""COMPUTED_VALUE"""),"Scramjets")</f>
        <v>Scramjets</v>
      </c>
      <c r="G50" s="107"/>
      <c r="H50" s="88" t="str">
        <f>IFERROR(__xludf.DUMMYFUNCTION("""COMPUTED_VALUE"""),"Hippos")</f>
        <v>Hippos</v>
      </c>
      <c r="I50" s="88" t="str">
        <f>IFERROR(__xludf.DUMMYFUNCTION("""COMPUTED_VALUE"""),"Barracudas")</f>
        <v>Barracudas</v>
      </c>
      <c r="J50" s="88" t="str">
        <f>IFERROR(__xludf.DUMMYFUNCTION("""COMPUTED_VALUE"""),"Guards")</f>
        <v>Guards</v>
      </c>
      <c r="K50" s="88" t="str">
        <f>IFERROR(__xludf.DUMMYFUNCTION("""COMPUTED_VALUE"""),"Gaboons")</f>
        <v>Gaboons</v>
      </c>
      <c r="L50" s="107"/>
      <c r="M50" s="88" t="str">
        <f>IFERROR(__xludf.DUMMYFUNCTION("""COMPUTED_VALUE"""),"Asiago Arsonists")</f>
        <v>Asiago Arsonists</v>
      </c>
      <c r="N50" s="88" t="str">
        <f>IFERROR(__xludf.DUMMYFUNCTION("""COMPUTED_VALUE"""),"Tax Evaders")</f>
        <v>Tax Evaders</v>
      </c>
      <c r="O50" s="88" t="str">
        <f>IFERROR(__xludf.DUMMYFUNCTION("""COMPUTED_VALUE"""),"Lightning")</f>
        <v>Lightning</v>
      </c>
      <c r="P50" s="88" t="str">
        <f>IFERROR(__xludf.DUMMYFUNCTION("""COMPUTED_VALUE"""),"Ruthless Racket")</f>
        <v>Ruthless Racket</v>
      </c>
      <c r="Q50" s="107"/>
      <c r="R50" s="88" t="str">
        <f>IFERROR(__xludf.DUMMYFUNCTION("""COMPUTED_VALUE"""),"Heavy Metal")</f>
        <v>Heavy Metal</v>
      </c>
      <c r="S50" s="88" t="str">
        <f>IFERROR(__xludf.DUMMYFUNCTION("""COMPUTED_VALUE"""),"Mining Legion")</f>
        <v>Mining Legion</v>
      </c>
      <c r="T50" s="88" t="str">
        <f>IFERROR(__xludf.DUMMYFUNCTION("""COMPUTED_VALUE"""),"Samurai")</f>
        <v>Samurai</v>
      </c>
      <c r="U50" s="88" t="str">
        <f>IFERROR(__xludf.DUMMYFUNCTION("""COMPUTED_VALUE"""),"Quasars")</f>
        <v>Quasars</v>
      </c>
      <c r="V50" s="143">
        <f>IFERROR(__xludf.DUMMYFUNCTION("""COMPUTED_VALUE"""),45950.0)</f>
        <v>45950</v>
      </c>
      <c r="W50" s="73"/>
    </row>
    <row r="51">
      <c r="A51" s="73"/>
      <c r="B51" s="68" t="str">
        <f>IFERROR(__xludf.DUMMYFUNCTION("""COMPUTED_VALUE"""),"Match Day 12")</f>
        <v>Match Day 12</v>
      </c>
      <c r="C51" s="87" t="str">
        <f>IFERROR(__xludf.DUMMYFUNCTION("""COMPUTED_VALUE"""),"Scramjets")</f>
        <v>Scramjets</v>
      </c>
      <c r="D51" s="88" t="str">
        <f>IFERROR(__xludf.DUMMYFUNCTION("""COMPUTED_VALUE"""),"Nightfall")</f>
        <v>Nightfall</v>
      </c>
      <c r="E51" s="88" t="str">
        <f>IFERROR(__xludf.DUMMYFUNCTION("""COMPUTED_VALUE"""),"Hot Wings")</f>
        <v>Hot Wings</v>
      </c>
      <c r="F51" s="88" t="str">
        <f>IFERROR(__xludf.DUMMYFUNCTION("""COMPUTED_VALUE"""),"Phantoms")</f>
        <v>Phantoms</v>
      </c>
      <c r="G51" s="107"/>
      <c r="H51" s="88" t="str">
        <f>IFERROR(__xludf.DUMMYFUNCTION("""COMPUTED_VALUE"""),"Gaboons")</f>
        <v>Gaboons</v>
      </c>
      <c r="I51" s="88" t="str">
        <f>IFERROR(__xludf.DUMMYFUNCTION("""COMPUTED_VALUE"""),"Guards")</f>
        <v>Guards</v>
      </c>
      <c r="J51" s="88" t="str">
        <f>IFERROR(__xludf.DUMMYFUNCTION("""COMPUTED_VALUE"""),"Barracudas")</f>
        <v>Barracudas</v>
      </c>
      <c r="K51" s="88" t="str">
        <f>IFERROR(__xludf.DUMMYFUNCTION("""COMPUTED_VALUE"""),"Hippos")</f>
        <v>Hippos</v>
      </c>
      <c r="L51" s="107"/>
      <c r="M51" s="88" t="str">
        <f>IFERROR(__xludf.DUMMYFUNCTION("""COMPUTED_VALUE"""),"Ruthless Racket")</f>
        <v>Ruthless Racket</v>
      </c>
      <c r="N51" s="88" t="str">
        <f>IFERROR(__xludf.DUMMYFUNCTION("""COMPUTED_VALUE"""),"Lightning")</f>
        <v>Lightning</v>
      </c>
      <c r="O51" s="88" t="str">
        <f>IFERROR(__xludf.DUMMYFUNCTION("""COMPUTED_VALUE"""),"Tax Evaders")</f>
        <v>Tax Evaders</v>
      </c>
      <c r="P51" s="88" t="str">
        <f>IFERROR(__xludf.DUMMYFUNCTION("""COMPUTED_VALUE"""),"Asiago Arsonists")</f>
        <v>Asiago Arsonists</v>
      </c>
      <c r="Q51" s="107"/>
      <c r="R51" s="88" t="str">
        <f>IFERROR(__xludf.DUMMYFUNCTION("""COMPUTED_VALUE"""),"Quasars")</f>
        <v>Quasars</v>
      </c>
      <c r="S51" s="88" t="str">
        <f>IFERROR(__xludf.DUMMYFUNCTION("""COMPUTED_VALUE"""),"Samurai")</f>
        <v>Samurai</v>
      </c>
      <c r="T51" s="88" t="str">
        <f>IFERROR(__xludf.DUMMYFUNCTION("""COMPUTED_VALUE"""),"Mining Legion")</f>
        <v>Mining Legion</v>
      </c>
      <c r="U51" s="88" t="str">
        <f>IFERROR(__xludf.DUMMYFUNCTION("""COMPUTED_VALUE"""),"Heavy Metal")</f>
        <v>Heavy Metal</v>
      </c>
      <c r="V51" s="143">
        <f>IFERROR(__xludf.DUMMYFUNCTION("""COMPUTED_VALUE"""),45952.0)</f>
        <v>45952</v>
      </c>
      <c r="W51" s="73"/>
    </row>
    <row r="52">
      <c r="A52" s="73"/>
      <c r="B52" s="68" t="str">
        <f>IFERROR(__xludf.DUMMYFUNCTION("""COMPUTED_VALUE"""),"Match Day 13")</f>
        <v>Match Day 13</v>
      </c>
      <c r="C52" s="87" t="str">
        <f>IFERROR(__xludf.DUMMYFUNCTION("""COMPUTED_VALUE"""),"Nightfall")</f>
        <v>Nightfall</v>
      </c>
      <c r="D52" s="88" t="str">
        <f>IFERROR(__xludf.DUMMYFUNCTION("""COMPUTED_VALUE"""),"Scramjets")</f>
        <v>Scramjets</v>
      </c>
      <c r="E52" s="88" t="str">
        <f>IFERROR(__xludf.DUMMYFUNCTION("""COMPUTED_VALUE"""),"Phantoms")</f>
        <v>Phantoms</v>
      </c>
      <c r="F52" s="88" t="str">
        <f>IFERROR(__xludf.DUMMYFUNCTION("""COMPUTED_VALUE"""),"Hot Wings")</f>
        <v>Hot Wings</v>
      </c>
      <c r="G52" s="107"/>
      <c r="H52" s="88" t="str">
        <f>IFERROR(__xludf.DUMMYFUNCTION("""COMPUTED_VALUE"""),"Guards")</f>
        <v>Guards</v>
      </c>
      <c r="I52" s="88" t="str">
        <f>IFERROR(__xludf.DUMMYFUNCTION("""COMPUTED_VALUE"""),"Gaboons")</f>
        <v>Gaboons</v>
      </c>
      <c r="J52" s="88" t="str">
        <f>IFERROR(__xludf.DUMMYFUNCTION("""COMPUTED_VALUE"""),"Hippos")</f>
        <v>Hippos</v>
      </c>
      <c r="K52" s="88" t="str">
        <f>IFERROR(__xludf.DUMMYFUNCTION("""COMPUTED_VALUE"""),"Barracudas")</f>
        <v>Barracudas</v>
      </c>
      <c r="L52" s="107"/>
      <c r="M52" s="88" t="str">
        <f>IFERROR(__xludf.DUMMYFUNCTION("""COMPUTED_VALUE"""),"Lightning")</f>
        <v>Lightning</v>
      </c>
      <c r="N52" s="88" t="str">
        <f>IFERROR(__xludf.DUMMYFUNCTION("""COMPUTED_VALUE"""),"Ruthless Racket")</f>
        <v>Ruthless Racket</v>
      </c>
      <c r="O52" s="88" t="str">
        <f>IFERROR(__xludf.DUMMYFUNCTION("""COMPUTED_VALUE"""),"Asiago Arsonists")</f>
        <v>Asiago Arsonists</v>
      </c>
      <c r="P52" s="88" t="str">
        <f>IFERROR(__xludf.DUMMYFUNCTION("""COMPUTED_VALUE"""),"Tax Evaders")</f>
        <v>Tax Evaders</v>
      </c>
      <c r="Q52" s="107"/>
      <c r="R52" s="88" t="str">
        <f>IFERROR(__xludf.DUMMYFUNCTION("""COMPUTED_VALUE"""),"Samurai")</f>
        <v>Samurai</v>
      </c>
      <c r="S52" s="88" t="str">
        <f>IFERROR(__xludf.DUMMYFUNCTION("""COMPUTED_VALUE"""),"Quasars")</f>
        <v>Quasars</v>
      </c>
      <c r="T52" s="88" t="str">
        <f>IFERROR(__xludf.DUMMYFUNCTION("""COMPUTED_VALUE"""),"Heavy Metal")</f>
        <v>Heavy Metal</v>
      </c>
      <c r="U52" s="88" t="str">
        <f>IFERROR(__xludf.DUMMYFUNCTION("""COMPUTED_VALUE"""),"Mining Legion")</f>
        <v>Mining Legion</v>
      </c>
      <c r="V52" s="143">
        <f>IFERROR(__xludf.DUMMYFUNCTION("""COMPUTED_VALUE"""),45957.0)</f>
        <v>45957</v>
      </c>
      <c r="W52" s="73"/>
    </row>
    <row r="53">
      <c r="A53" s="73"/>
      <c r="B53" s="55" t="str">
        <f>IFERROR(__xludf.DUMMYFUNCTION("""COMPUTED_VALUE"""),"Match Day 14")</f>
        <v>Match Day 14</v>
      </c>
      <c r="C53" s="118" t="str">
        <f>IFERROR(__xludf.DUMMYFUNCTION("""COMPUTED_VALUE"""),"Ruthless Racket")</f>
        <v>Ruthless Racket</v>
      </c>
      <c r="D53" s="119" t="str">
        <f>IFERROR(__xludf.DUMMYFUNCTION("""COMPUTED_VALUE"""),"Lightning")</f>
        <v>Lightning</v>
      </c>
      <c r="E53" s="119" t="str">
        <f>IFERROR(__xludf.DUMMYFUNCTION("""COMPUTED_VALUE"""),"Tax Evaders")</f>
        <v>Tax Evaders</v>
      </c>
      <c r="F53" s="119" t="str">
        <f>IFERROR(__xludf.DUMMYFUNCTION("""COMPUTED_VALUE"""),"Asiago Arsonists")</f>
        <v>Asiago Arsonists</v>
      </c>
      <c r="G53" s="107"/>
      <c r="H53" s="119" t="str">
        <f>IFERROR(__xludf.DUMMYFUNCTION("""COMPUTED_VALUE"""),"Quasars")</f>
        <v>Quasars</v>
      </c>
      <c r="I53" s="119" t="str">
        <f>IFERROR(__xludf.DUMMYFUNCTION("""COMPUTED_VALUE"""),"Samurai")</f>
        <v>Samurai</v>
      </c>
      <c r="J53" s="119" t="str">
        <f>IFERROR(__xludf.DUMMYFUNCTION("""COMPUTED_VALUE"""),"Mining Legion")</f>
        <v>Mining Legion</v>
      </c>
      <c r="K53" s="119" t="str">
        <f>IFERROR(__xludf.DUMMYFUNCTION("""COMPUTED_VALUE"""),"Heavy Metal")</f>
        <v>Heavy Metal</v>
      </c>
      <c r="L53" s="107"/>
      <c r="M53" s="119" t="str">
        <f>IFERROR(__xludf.DUMMYFUNCTION("""COMPUTED_VALUE"""),"Scramjets")</f>
        <v>Scramjets</v>
      </c>
      <c r="N53" s="119" t="str">
        <f>IFERROR(__xludf.DUMMYFUNCTION("""COMPUTED_VALUE"""),"Nightfall")</f>
        <v>Nightfall</v>
      </c>
      <c r="O53" s="119" t="str">
        <f>IFERROR(__xludf.DUMMYFUNCTION("""COMPUTED_VALUE"""),"Hot Wings")</f>
        <v>Hot Wings</v>
      </c>
      <c r="P53" s="119" t="str">
        <f>IFERROR(__xludf.DUMMYFUNCTION("""COMPUTED_VALUE"""),"Phantoms")</f>
        <v>Phantoms</v>
      </c>
      <c r="Q53" s="107"/>
      <c r="R53" s="119" t="str">
        <f>IFERROR(__xludf.DUMMYFUNCTION("""COMPUTED_VALUE"""),"Gaboons")</f>
        <v>Gaboons</v>
      </c>
      <c r="S53" s="119" t="str">
        <f>IFERROR(__xludf.DUMMYFUNCTION("""COMPUTED_VALUE"""),"Guards")</f>
        <v>Guards</v>
      </c>
      <c r="T53" s="119" t="str">
        <f>IFERROR(__xludf.DUMMYFUNCTION("""COMPUTED_VALUE"""),"Barracudas")</f>
        <v>Barracudas</v>
      </c>
      <c r="U53" s="119" t="str">
        <f>IFERROR(__xludf.DUMMYFUNCTION("""COMPUTED_VALUE"""),"Hippos")</f>
        <v>Hippos</v>
      </c>
      <c r="V53" s="143">
        <f>IFERROR(__xludf.DUMMYFUNCTION("""COMPUTED_VALUE"""),45959.0)</f>
        <v>45959</v>
      </c>
      <c r="W53" s="73"/>
    </row>
    <row r="54">
      <c r="A54" s="73"/>
      <c r="B54" s="55" t="str">
        <f>IFERROR(__xludf.DUMMYFUNCTION("""COMPUTED_VALUE"""),"Match Day 15")</f>
        <v>Match Day 15</v>
      </c>
      <c r="C54" s="118" t="str">
        <f>IFERROR(__xludf.DUMMYFUNCTION("""COMPUTED_VALUE"""),"Asiago Arsonists")</f>
        <v>Asiago Arsonists</v>
      </c>
      <c r="D54" s="119" t="str">
        <f>IFERROR(__xludf.DUMMYFUNCTION("""COMPUTED_VALUE"""),"Tax Evaders")</f>
        <v>Tax Evaders</v>
      </c>
      <c r="E54" s="119" t="str">
        <f>IFERROR(__xludf.DUMMYFUNCTION("""COMPUTED_VALUE"""),"Lightning")</f>
        <v>Lightning</v>
      </c>
      <c r="F54" s="119" t="str">
        <f>IFERROR(__xludf.DUMMYFUNCTION("""COMPUTED_VALUE"""),"Ruthless Racket")</f>
        <v>Ruthless Racket</v>
      </c>
      <c r="G54" s="107"/>
      <c r="H54" s="119" t="str">
        <f>IFERROR(__xludf.DUMMYFUNCTION("""COMPUTED_VALUE"""),"Heavy Metal")</f>
        <v>Heavy Metal</v>
      </c>
      <c r="I54" s="119" t="str">
        <f>IFERROR(__xludf.DUMMYFUNCTION("""COMPUTED_VALUE"""),"Mining Legion")</f>
        <v>Mining Legion</v>
      </c>
      <c r="J54" s="119" t="str">
        <f>IFERROR(__xludf.DUMMYFUNCTION("""COMPUTED_VALUE"""),"Samurai")</f>
        <v>Samurai</v>
      </c>
      <c r="K54" s="119" t="str">
        <f>IFERROR(__xludf.DUMMYFUNCTION("""COMPUTED_VALUE"""),"Quasars")</f>
        <v>Quasars</v>
      </c>
      <c r="L54" s="107"/>
      <c r="M54" s="119" t="str">
        <f>IFERROR(__xludf.DUMMYFUNCTION("""COMPUTED_VALUE"""),"Phantoms")</f>
        <v>Phantoms</v>
      </c>
      <c r="N54" s="119" t="str">
        <f>IFERROR(__xludf.DUMMYFUNCTION("""COMPUTED_VALUE"""),"Hot Wings")</f>
        <v>Hot Wings</v>
      </c>
      <c r="O54" s="119" t="str">
        <f>IFERROR(__xludf.DUMMYFUNCTION("""COMPUTED_VALUE"""),"Nightfall")</f>
        <v>Nightfall</v>
      </c>
      <c r="P54" s="119" t="str">
        <f>IFERROR(__xludf.DUMMYFUNCTION("""COMPUTED_VALUE"""),"Scramjets")</f>
        <v>Scramjets</v>
      </c>
      <c r="Q54" s="107"/>
      <c r="R54" s="119" t="str">
        <f>IFERROR(__xludf.DUMMYFUNCTION("""COMPUTED_VALUE"""),"Hippos")</f>
        <v>Hippos</v>
      </c>
      <c r="S54" s="119" t="str">
        <f>IFERROR(__xludf.DUMMYFUNCTION("""COMPUTED_VALUE"""),"Barracudas")</f>
        <v>Barracudas</v>
      </c>
      <c r="T54" s="119" t="str">
        <f>IFERROR(__xludf.DUMMYFUNCTION("""COMPUTED_VALUE"""),"Guards")</f>
        <v>Guards</v>
      </c>
      <c r="U54" s="119" t="str">
        <f>IFERROR(__xludf.DUMMYFUNCTION("""COMPUTED_VALUE"""),"Gaboons")</f>
        <v>Gaboons</v>
      </c>
      <c r="V54" s="143">
        <f>IFERROR(__xludf.DUMMYFUNCTION("""COMPUTED_VALUE"""),45964.0)</f>
        <v>45964</v>
      </c>
      <c r="W54" s="73"/>
    </row>
    <row r="55">
      <c r="A55" s="73"/>
      <c r="B55" s="55" t="str">
        <f>IFERROR(__xludf.DUMMYFUNCTION("""COMPUTED_VALUE"""),"Match Day 16")</f>
        <v>Match Day 16</v>
      </c>
      <c r="C55" s="118" t="str">
        <f>IFERROR(__xludf.DUMMYFUNCTION("""COMPUTED_VALUE"""),"Lightning")</f>
        <v>Lightning</v>
      </c>
      <c r="D55" s="119" t="str">
        <f>IFERROR(__xludf.DUMMYFUNCTION("""COMPUTED_VALUE"""),"Ruthless Racket")</f>
        <v>Ruthless Racket</v>
      </c>
      <c r="E55" s="119" t="str">
        <f>IFERROR(__xludf.DUMMYFUNCTION("""COMPUTED_VALUE"""),"Asiago Arsonists")</f>
        <v>Asiago Arsonists</v>
      </c>
      <c r="F55" s="119" t="str">
        <f>IFERROR(__xludf.DUMMYFUNCTION("""COMPUTED_VALUE"""),"Tax Evaders")</f>
        <v>Tax Evaders</v>
      </c>
      <c r="G55" s="107"/>
      <c r="H55" s="119" t="str">
        <f>IFERROR(__xludf.DUMMYFUNCTION("""COMPUTED_VALUE"""),"Samurai")</f>
        <v>Samurai</v>
      </c>
      <c r="I55" s="119" t="str">
        <f>IFERROR(__xludf.DUMMYFUNCTION("""COMPUTED_VALUE"""),"Quasars")</f>
        <v>Quasars</v>
      </c>
      <c r="J55" s="119" t="str">
        <f>IFERROR(__xludf.DUMMYFUNCTION("""COMPUTED_VALUE"""),"Heavy Metal")</f>
        <v>Heavy Metal</v>
      </c>
      <c r="K55" s="119" t="str">
        <f>IFERROR(__xludf.DUMMYFUNCTION("""COMPUTED_VALUE"""),"Mining Legion")</f>
        <v>Mining Legion</v>
      </c>
      <c r="L55" s="107"/>
      <c r="M55" s="119" t="str">
        <f>IFERROR(__xludf.DUMMYFUNCTION("""COMPUTED_VALUE"""),"Nightfall")</f>
        <v>Nightfall</v>
      </c>
      <c r="N55" s="119" t="str">
        <f>IFERROR(__xludf.DUMMYFUNCTION("""COMPUTED_VALUE"""),"Scramjets")</f>
        <v>Scramjets</v>
      </c>
      <c r="O55" s="119" t="str">
        <f>IFERROR(__xludf.DUMMYFUNCTION("""COMPUTED_VALUE"""),"Phantoms")</f>
        <v>Phantoms</v>
      </c>
      <c r="P55" s="119" t="str">
        <f>IFERROR(__xludf.DUMMYFUNCTION("""COMPUTED_VALUE"""),"Hot Wings")</f>
        <v>Hot Wings</v>
      </c>
      <c r="Q55" s="107"/>
      <c r="R55" s="119" t="str">
        <f>IFERROR(__xludf.DUMMYFUNCTION("""COMPUTED_VALUE"""),"Guards")</f>
        <v>Guards</v>
      </c>
      <c r="S55" s="119" t="str">
        <f>IFERROR(__xludf.DUMMYFUNCTION("""COMPUTED_VALUE"""),"Gaboons")</f>
        <v>Gaboons</v>
      </c>
      <c r="T55" s="119" t="str">
        <f>IFERROR(__xludf.DUMMYFUNCTION("""COMPUTED_VALUE"""),"Hippos")</f>
        <v>Hippos</v>
      </c>
      <c r="U55" s="119" t="str">
        <f>IFERROR(__xludf.DUMMYFUNCTION("""COMPUTED_VALUE"""),"Barracudas")</f>
        <v>Barracudas</v>
      </c>
      <c r="V55" s="143">
        <f>IFERROR(__xludf.DUMMYFUNCTION("""COMPUTED_VALUE"""),45966.0)</f>
        <v>45966</v>
      </c>
      <c r="W55" s="73"/>
    </row>
    <row r="56">
      <c r="A56" s="73"/>
      <c r="B56" s="141" t="str">
        <f>IFERROR(__xludf.DUMMYFUNCTION("""COMPUTED_VALUE"""),"Match Day 17")</f>
        <v>Match Day 17</v>
      </c>
      <c r="C56" s="144" t="str">
        <f>IFERROR(__xludf.DUMMYFUNCTION("""COMPUTED_VALUE"""),"Wild-Card (9:45 PM ET) / Quarterfinals (10:30 PM ET)")</f>
        <v>Wild-Card (9:45 PM ET) / Quarterfinals (10:30 PM ET)</v>
      </c>
      <c r="D56" s="27"/>
      <c r="E56" s="27"/>
      <c r="F56" s="27"/>
      <c r="G56" s="27"/>
      <c r="H56" s="27"/>
      <c r="I56" s="27"/>
      <c r="J56" s="27"/>
      <c r="K56" s="90"/>
      <c r="L56" s="145"/>
      <c r="M56" s="144" t="str">
        <f>IFERROR(__xludf.DUMMYFUNCTION("""COMPUTED_VALUE"""),"Wild-Card (9:45 PM ET) / Quarterfinals (10:30 PM ET)")</f>
        <v>Wild-Card (9:45 PM ET) / Quarterfinals (10:30 PM ET)</v>
      </c>
      <c r="N56" s="27"/>
      <c r="O56" s="27"/>
      <c r="P56" s="27"/>
      <c r="Q56" s="27"/>
      <c r="R56" s="27"/>
      <c r="S56" s="27"/>
      <c r="T56" s="27"/>
      <c r="U56" s="90"/>
      <c r="V56" s="143">
        <f>IFERROR(__xludf.DUMMYFUNCTION("""COMPUTED_VALUE"""),45971.0)</f>
        <v>45971</v>
      </c>
      <c r="W56" s="73"/>
    </row>
    <row r="57">
      <c r="A57" s="73"/>
      <c r="B57" s="141" t="str">
        <f>IFERROR(__xludf.DUMMYFUNCTION("""COMPUTED_VALUE"""),"Match Day 18")</f>
        <v>Match Day 18</v>
      </c>
      <c r="C57" s="144" t="str">
        <f>IFERROR(__xludf.DUMMYFUNCTION("""COMPUTED_VALUE"""),"Semifinals (10:00 PM ET)")</f>
        <v>Semifinals (10:00 PM ET)</v>
      </c>
      <c r="D57" s="27"/>
      <c r="E57" s="27"/>
      <c r="F57" s="27"/>
      <c r="G57" s="27"/>
      <c r="H57" s="27"/>
      <c r="I57" s="27"/>
      <c r="J57" s="27"/>
      <c r="K57" s="90"/>
      <c r="L57" s="145"/>
      <c r="M57" s="144" t="str">
        <f>IFERROR(__xludf.DUMMYFUNCTION("""COMPUTED_VALUE"""),"Semifinals (10:00 PM ET)")</f>
        <v>Semifinals (10:00 PM ET)</v>
      </c>
      <c r="N57" s="27"/>
      <c r="O57" s="27"/>
      <c r="P57" s="27"/>
      <c r="Q57" s="27"/>
      <c r="R57" s="27"/>
      <c r="S57" s="27"/>
      <c r="T57" s="27"/>
      <c r="U57" s="90"/>
      <c r="V57" s="143">
        <f>IFERROR(__xludf.DUMMYFUNCTION("""COMPUTED_VALUE"""),45973.0)</f>
        <v>45973</v>
      </c>
      <c r="W57" s="73"/>
    </row>
    <row r="58">
      <c r="A58" s="73"/>
      <c r="B58" s="141" t="str">
        <f>IFERROR(__xludf.DUMMYFUNCTION("""COMPUTED_VALUE"""),"Match Day 19")</f>
        <v>Match Day 19</v>
      </c>
      <c r="C58" s="144" t="str">
        <f>IFERROR(__xludf.DUMMYFUNCTION("""COMPUTED_VALUE"""),"Finals (9:30 PM ET)")</f>
        <v>Finals (9:30 PM ET)</v>
      </c>
      <c r="D58" s="27"/>
      <c r="E58" s="27"/>
      <c r="F58" s="27"/>
      <c r="G58" s="27"/>
      <c r="H58" s="27"/>
      <c r="I58" s="27"/>
      <c r="J58" s="27"/>
      <c r="K58" s="90"/>
      <c r="L58" s="145"/>
      <c r="M58" s="144" t="str">
        <f>IFERROR(__xludf.DUMMYFUNCTION("""COMPUTED_VALUE"""),"Finals (9:30 PM ET)")</f>
        <v>Finals (9:30 PM ET)</v>
      </c>
      <c r="N58" s="27"/>
      <c r="O58" s="27"/>
      <c r="P58" s="27"/>
      <c r="Q58" s="27"/>
      <c r="R58" s="27"/>
      <c r="S58" s="27"/>
      <c r="T58" s="27"/>
      <c r="U58" s="90"/>
      <c r="V58" s="143">
        <f>IFERROR(__xludf.DUMMYFUNCTION("""COMPUTED_VALUE"""),45978.0)</f>
        <v>45978</v>
      </c>
      <c r="W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</row>
  </sheetData>
  <mergeCells count="24">
    <mergeCell ref="C2:U2"/>
    <mergeCell ref="H3:P3"/>
    <mergeCell ref="H4:P5"/>
    <mergeCell ref="C7:F7"/>
    <mergeCell ref="H7:K7"/>
    <mergeCell ref="M7:P7"/>
    <mergeCell ref="R7:U7"/>
    <mergeCell ref="C28:K28"/>
    <mergeCell ref="M28:U28"/>
    <mergeCell ref="C29:K29"/>
    <mergeCell ref="M29:U29"/>
    <mergeCell ref="C30:K30"/>
    <mergeCell ref="M30:U30"/>
    <mergeCell ref="I33:O34"/>
    <mergeCell ref="C57:K57"/>
    <mergeCell ref="C58:K58"/>
    <mergeCell ref="C35:F35"/>
    <mergeCell ref="H35:K35"/>
    <mergeCell ref="M35:P35"/>
    <mergeCell ref="R35:U35"/>
    <mergeCell ref="C56:K56"/>
    <mergeCell ref="M56:U56"/>
    <mergeCell ref="M57:U57"/>
    <mergeCell ref="M58:U5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25"/>
    <col customWidth="1" min="2" max="2" width="14.0"/>
    <col customWidth="1" min="3" max="6" width="15.13"/>
    <col customWidth="1" min="7" max="7" width="2.63"/>
    <col customWidth="1" min="8" max="11" width="15.13"/>
    <col customWidth="1" min="12" max="12" width="2.63"/>
    <col customWidth="1" min="13" max="16" width="15.13"/>
    <col customWidth="1" min="17" max="17" width="2.63"/>
    <col customWidth="1" min="18" max="21" width="15.13"/>
    <col customWidth="1" min="22" max="22" width="14.0"/>
    <col customWidth="1" min="23" max="26" width="3.38"/>
  </cols>
  <sheetData>
    <row r="1">
      <c r="A1" s="43" t="str">
        <f>IFERROR(__xludf.DUMMYFUNCTION("IMPORTRANGE(Imports!B1, ""Challenger!A:W"")"),"sc")</f>
        <v>sc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93"/>
      <c r="Y1" s="93"/>
      <c r="Z1" s="93"/>
    </row>
    <row r="2">
      <c r="A2" s="73"/>
      <c r="B2" s="73"/>
      <c r="C2" s="148" t="str">
        <f>IFERROR(__xludf.DUMMYFUNCTION("""COMPUTED_VALUE"""),"Challenger Schedule")</f>
        <v>Challenger Schedule</v>
      </c>
      <c r="V2" s="73"/>
      <c r="W2" s="73"/>
      <c r="X2" s="93"/>
      <c r="Y2" s="93"/>
      <c r="Z2" s="93"/>
    </row>
    <row r="3">
      <c r="A3" s="73"/>
      <c r="B3" s="73"/>
      <c r="C3" s="4"/>
      <c r="D3" s="4"/>
      <c r="E3" s="4"/>
      <c r="F3" s="4"/>
      <c r="G3" s="4"/>
      <c r="H3" s="50" t="str">
        <f>IFERROR(__xludf.DUMMYFUNCTION("""COMPUTED_VALUE"""),"Each team plays divisional opponents twice, six other conference opponents, and three non-conference games.")</f>
        <v>Each team plays divisional opponents twice, six other conference opponents, and three non-conference games.</v>
      </c>
      <c r="Q3" s="4"/>
      <c r="R3" s="4"/>
      <c r="S3" s="4"/>
      <c r="T3" s="4"/>
      <c r="U3" s="4"/>
      <c r="V3" s="73"/>
      <c r="W3" s="73"/>
      <c r="X3" s="93"/>
      <c r="Y3" s="93"/>
      <c r="Z3" s="93"/>
    </row>
    <row r="4">
      <c r="A4" s="73"/>
      <c r="B4" s="48" t="str">
        <f>IFERROR(__xludf.DUMMYFUNCTION("""COMPUTED_VALUE"""),"Preseason")</f>
        <v>Preseason</v>
      </c>
      <c r="C4" s="73"/>
      <c r="D4" s="73"/>
      <c r="E4" s="73"/>
      <c r="F4" s="73"/>
      <c r="G4" s="73"/>
      <c r="H4" s="95" t="str">
        <f>IFERROR(__xludf.DUMMYFUNCTION("""COMPUTED_VALUE"""),"Solar Conference")</f>
        <v>Solar Conference</v>
      </c>
      <c r="Q4" s="73"/>
      <c r="R4" s="73"/>
      <c r="S4" s="73"/>
      <c r="T4" s="73"/>
      <c r="U4" s="73"/>
      <c r="V4" s="48" t="str">
        <f>IFERROR(__xludf.DUMMYFUNCTION("""COMPUTED_VALUE"""),"Preseason")</f>
        <v>Preseason</v>
      </c>
      <c r="W4" s="73"/>
      <c r="X4" s="93"/>
      <c r="Y4" s="93"/>
      <c r="Z4" s="93"/>
    </row>
    <row r="5" ht="15.75" customHeight="1">
      <c r="A5" s="73"/>
      <c r="B5" s="96" t="str">
        <f>IFERROR(__xludf.DUMMYFUNCTION("""COMPUTED_VALUE"""),"In Division")</f>
        <v>In Division</v>
      </c>
      <c r="C5" s="73"/>
      <c r="D5" s="73"/>
      <c r="E5" s="73"/>
      <c r="F5" s="73"/>
      <c r="G5" s="73"/>
      <c r="Q5" s="73"/>
      <c r="R5" s="73"/>
      <c r="S5" s="73"/>
      <c r="T5" s="73"/>
      <c r="U5" s="73"/>
      <c r="V5" s="96" t="str">
        <f>IFERROR(__xludf.DUMMYFUNCTION("""COMPUTED_VALUE"""),"In Division")</f>
        <v>In Division</v>
      </c>
      <c r="W5" s="73"/>
      <c r="X5" s="93"/>
      <c r="Y5" s="93"/>
      <c r="Z5" s="93"/>
    </row>
    <row r="6" ht="15.75" customHeight="1">
      <c r="A6" s="73"/>
      <c r="B6" s="78" t="str">
        <f>IFERROR(__xludf.DUMMYFUNCTION("""COMPUTED_VALUE"""),"In Conference")</f>
        <v>In Conference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78" t="str">
        <f>IFERROR(__xludf.DUMMYFUNCTION("""COMPUTED_VALUE"""),"In Conference")</f>
        <v>In Conference</v>
      </c>
      <c r="W6" s="73"/>
      <c r="X6" s="93"/>
      <c r="Y6" s="93"/>
      <c r="Z6" s="93"/>
    </row>
    <row r="7" ht="15.75" customHeight="1">
      <c r="A7" s="73"/>
      <c r="B7" s="97" t="str">
        <f>IFERROR(__xludf.DUMMYFUNCTION("""COMPUTED_VALUE"""),"Out of Conference")</f>
        <v>Out of Conference</v>
      </c>
      <c r="C7" s="98" t="str">
        <f>IFERROR(__xludf.DUMMYFUNCTION("""COMPUTED_VALUE"""),"Cloud Division")</f>
        <v>Cloud Division</v>
      </c>
      <c r="G7" s="43"/>
      <c r="H7" s="99" t="str">
        <f>IFERROR(__xludf.DUMMYFUNCTION("""COMPUTED_VALUE"""),"Ember Division")</f>
        <v>Ember Division</v>
      </c>
      <c r="L7" s="73"/>
      <c r="M7" s="100" t="str">
        <f>IFERROR(__xludf.DUMMYFUNCTION("""COMPUTED_VALUE"""),"Mountain Division")</f>
        <v>Mountain Division</v>
      </c>
      <c r="Q7" s="101"/>
      <c r="R7" s="102" t="str">
        <f>IFERROR(__xludf.DUMMYFUNCTION("""COMPUTED_VALUE"""),"Ocean Division")</f>
        <v>Ocean Division</v>
      </c>
      <c r="V7" s="97" t="str">
        <f>IFERROR(__xludf.DUMMYFUNCTION("""COMPUTED_VALUE"""),"Out of Conference")</f>
        <v>Out of Conference</v>
      </c>
      <c r="W7" s="73"/>
      <c r="X7" s="93"/>
      <c r="Y7" s="93"/>
      <c r="Z7" s="93"/>
    </row>
    <row r="8">
      <c r="A8" s="73"/>
      <c r="B8" s="80" t="str">
        <f>IFERROR(__xludf.DUMMYFUNCTION("""COMPUTED_VALUE"""),"Playoffs")</f>
        <v>Playoffs</v>
      </c>
      <c r="C8" s="103" t="str">
        <f>IFERROR(__xludf.DUMMYFUNCTION("""COMPUTED_VALUE"""),"Toucans")</f>
        <v>Toucans</v>
      </c>
      <c r="D8" s="103" t="str">
        <f>IFERROR(__xludf.DUMMYFUNCTION("""COMPUTED_VALUE"""),"Manticore")</f>
        <v>Manticore</v>
      </c>
      <c r="E8" s="103" t="str">
        <f>IFERROR(__xludf.DUMMYFUNCTION("""COMPUTED_VALUE"""),"Glaciers")</f>
        <v>Glaciers</v>
      </c>
      <c r="F8" s="103" t="str">
        <f>IFERROR(__xludf.DUMMYFUNCTION("""COMPUTED_VALUE"""),"Spearmint")</f>
        <v>Spearmint</v>
      </c>
      <c r="G8" s="73"/>
      <c r="H8" s="103" t="str">
        <f>IFERROR(__xludf.DUMMYFUNCTION("""COMPUTED_VALUE"""),"Olympic Knights")</f>
        <v>Olympic Knights</v>
      </c>
      <c r="I8" s="103" t="str">
        <f>IFERROR(__xludf.DUMMYFUNCTION("""COMPUTED_VALUE"""),"Void")</f>
        <v>Void</v>
      </c>
      <c r="J8" s="103" t="str">
        <f>IFERROR(__xludf.DUMMYFUNCTION("""COMPUTED_VALUE"""),"Porch Pirates")</f>
        <v>Porch Pirates</v>
      </c>
      <c r="K8" s="103" t="str">
        <f>IFERROR(__xludf.DUMMYFUNCTION("""COMPUTED_VALUE"""),"Cooks")</f>
        <v>Cooks</v>
      </c>
      <c r="L8" s="104"/>
      <c r="M8" s="103" t="str">
        <f>IFERROR(__xludf.DUMMYFUNCTION("""COMPUTED_VALUE"""),"Threshers")</f>
        <v>Threshers</v>
      </c>
      <c r="N8" s="103" t="str">
        <f>IFERROR(__xludf.DUMMYFUNCTION("""COMPUTED_VALUE"""),"Ryujin")</f>
        <v>Ryujin</v>
      </c>
      <c r="O8" s="103" t="str">
        <f>IFERROR(__xludf.DUMMYFUNCTION("""COMPUTED_VALUE"""),"Metal")</f>
        <v>Metal</v>
      </c>
      <c r="P8" s="103" t="str">
        <f>IFERROR(__xludf.DUMMYFUNCTION("""COMPUTED_VALUE"""),"Chromatic Chaos")</f>
        <v>Chromatic Chaos</v>
      </c>
      <c r="Q8" s="105"/>
      <c r="R8" s="103" t="str">
        <f>IFERROR(__xludf.DUMMYFUNCTION("""COMPUTED_VALUE"""),"Decuriones")</f>
        <v>Decuriones</v>
      </c>
      <c r="S8" s="103" t="str">
        <f>IFERROR(__xludf.DUMMYFUNCTION("""COMPUTED_VALUE"""),"Panda Bears")</f>
        <v>Panda Bears</v>
      </c>
      <c r="T8" s="103" t="str">
        <f>IFERROR(__xludf.DUMMYFUNCTION("""COMPUTED_VALUE"""),"Sirens")</f>
        <v>Sirens</v>
      </c>
      <c r="U8" s="81" t="str">
        <f>IFERROR(__xludf.DUMMYFUNCTION("""COMPUTED_VALUE"""),"Thunder Pups")</f>
        <v>Thunder Pups</v>
      </c>
      <c r="V8" s="80" t="str">
        <f>IFERROR(__xludf.DUMMYFUNCTION("""COMPUTED_VALUE"""),"Playoffs")</f>
        <v>Playoffs</v>
      </c>
      <c r="W8" s="73"/>
      <c r="X8" s="93"/>
      <c r="Y8" s="93"/>
      <c r="Z8" s="93"/>
    </row>
    <row r="9">
      <c r="A9" s="73"/>
      <c r="B9" s="55" t="str">
        <f>IFERROR(__xludf.DUMMYFUNCTION("""COMPUTED_VALUE"""),"Preseason 1")</f>
        <v>Preseason 1</v>
      </c>
      <c r="C9" s="82" t="str">
        <f>IFERROR(__xludf.DUMMYFUNCTION("""COMPUTED_VALUE"""),"Manticore")</f>
        <v>Manticore</v>
      </c>
      <c r="D9" s="83" t="str">
        <f>IFERROR(__xludf.DUMMYFUNCTION("""COMPUTED_VALUE"""),"Toucans")</f>
        <v>Toucans</v>
      </c>
      <c r="E9" s="83" t="str">
        <f>IFERROR(__xludf.DUMMYFUNCTION("""COMPUTED_VALUE"""),"Spearmint")</f>
        <v>Spearmint</v>
      </c>
      <c r="F9" s="83" t="str">
        <f>IFERROR(__xludf.DUMMYFUNCTION("""COMPUTED_VALUE"""),"Glaciers")</f>
        <v>Glaciers</v>
      </c>
      <c r="G9" s="107"/>
      <c r="H9" s="83" t="str">
        <f>IFERROR(__xludf.DUMMYFUNCTION("""COMPUTED_VALUE"""),"Void")</f>
        <v>Void</v>
      </c>
      <c r="I9" s="83" t="str">
        <f>IFERROR(__xludf.DUMMYFUNCTION("""COMPUTED_VALUE"""),"Olympic Knights")</f>
        <v>Olympic Knights</v>
      </c>
      <c r="J9" s="83" t="str">
        <f>IFERROR(__xludf.DUMMYFUNCTION("""COMPUTED_VALUE"""),"Cooks")</f>
        <v>Cooks</v>
      </c>
      <c r="K9" s="83" t="str">
        <f>IFERROR(__xludf.DUMMYFUNCTION("""COMPUTED_VALUE"""),"Porch Pirates")</f>
        <v>Porch Pirates</v>
      </c>
      <c r="L9" s="107"/>
      <c r="M9" s="83" t="str">
        <f>IFERROR(__xludf.DUMMYFUNCTION("""COMPUTED_VALUE"""),"Ryujin")</f>
        <v>Ryujin</v>
      </c>
      <c r="N9" s="83" t="str">
        <f>IFERROR(__xludf.DUMMYFUNCTION("""COMPUTED_VALUE"""),"Threshers")</f>
        <v>Threshers</v>
      </c>
      <c r="O9" s="83" t="str">
        <f>IFERROR(__xludf.DUMMYFUNCTION("""COMPUTED_VALUE"""),"Chromatic Chaos")</f>
        <v>Chromatic Chaos</v>
      </c>
      <c r="P9" s="83" t="str">
        <f>IFERROR(__xludf.DUMMYFUNCTION("""COMPUTED_VALUE"""),"Metal")</f>
        <v>Metal</v>
      </c>
      <c r="Q9" s="108"/>
      <c r="R9" s="83" t="str">
        <f>IFERROR(__xludf.DUMMYFUNCTION("""COMPUTED_VALUE"""),"Panda Bears")</f>
        <v>Panda Bears</v>
      </c>
      <c r="S9" s="83" t="str">
        <f>IFERROR(__xludf.DUMMYFUNCTION("""COMPUTED_VALUE"""),"Decuriones")</f>
        <v>Decuriones</v>
      </c>
      <c r="T9" s="83" t="str">
        <f>IFERROR(__xludf.DUMMYFUNCTION("""COMPUTED_VALUE"""),"Thunder Pups")</f>
        <v>Thunder Pups</v>
      </c>
      <c r="U9" s="83" t="str">
        <f>IFERROR(__xludf.DUMMYFUNCTION("""COMPUTED_VALUE"""),"Sirens")</f>
        <v>Sirens</v>
      </c>
      <c r="V9" s="109">
        <f>IFERROR(__xludf.DUMMYFUNCTION("""COMPUTED_VALUE"""),45896.0)</f>
        <v>45896</v>
      </c>
      <c r="W9" s="73"/>
      <c r="X9" s="93"/>
      <c r="Y9" s="93"/>
      <c r="Z9" s="93"/>
    </row>
    <row r="10">
      <c r="A10" s="73"/>
      <c r="B10" s="55" t="str">
        <f>IFERROR(__xludf.DUMMYFUNCTION("""COMPUTED_VALUE"""),"Preseason 2")</f>
        <v>Preseason 2</v>
      </c>
      <c r="C10" s="82" t="str">
        <f>IFERROR(__xludf.DUMMYFUNCTION("""COMPUTED_VALUE"""),"Sirens")</f>
        <v>Sirens</v>
      </c>
      <c r="D10" s="110" t="str">
        <f>IFERROR(__xludf.DUMMYFUNCTION("""COMPUTED_VALUE"""),"Thunder Pups")</f>
        <v>Thunder Pups</v>
      </c>
      <c r="E10" s="110" t="str">
        <f>IFERROR(__xludf.DUMMYFUNCTION("""COMPUTED_VALUE"""),"Decuriones")</f>
        <v>Decuriones</v>
      </c>
      <c r="F10" s="110" t="str">
        <f>IFERROR(__xludf.DUMMYFUNCTION("""COMPUTED_VALUE"""),"Panda Bears")</f>
        <v>Panda Bears</v>
      </c>
      <c r="G10" s="73"/>
      <c r="H10" s="111" t="str">
        <f>IFERROR(__xludf.DUMMYFUNCTION("""COMPUTED_VALUE"""),"Metal")</f>
        <v>Metal</v>
      </c>
      <c r="I10" s="110" t="str">
        <f>IFERROR(__xludf.DUMMYFUNCTION("""COMPUTED_VALUE"""),"Chromatic Chaos")</f>
        <v>Chromatic Chaos</v>
      </c>
      <c r="J10" s="110" t="str">
        <f>IFERROR(__xludf.DUMMYFUNCTION("""COMPUTED_VALUE"""),"Threshers")</f>
        <v>Threshers</v>
      </c>
      <c r="K10" s="110" t="str">
        <f>IFERROR(__xludf.DUMMYFUNCTION("""COMPUTED_VALUE"""),"Ryujin")</f>
        <v>Ryujin</v>
      </c>
      <c r="L10" s="73"/>
      <c r="M10" s="111" t="str">
        <f>IFERROR(__xludf.DUMMYFUNCTION("""COMPUTED_VALUE"""),"Porch Pirates")</f>
        <v>Porch Pirates</v>
      </c>
      <c r="N10" s="110" t="str">
        <f>IFERROR(__xludf.DUMMYFUNCTION("""COMPUTED_VALUE"""),"Cooks")</f>
        <v>Cooks</v>
      </c>
      <c r="O10" s="110" t="str">
        <f>IFERROR(__xludf.DUMMYFUNCTION("""COMPUTED_VALUE"""),"Olympic Knights")</f>
        <v>Olympic Knights</v>
      </c>
      <c r="P10" s="110" t="str">
        <f>IFERROR(__xludf.DUMMYFUNCTION("""COMPUTED_VALUE"""),"Void")</f>
        <v>Void</v>
      </c>
      <c r="Q10" s="101"/>
      <c r="R10" s="111" t="str">
        <f>IFERROR(__xludf.DUMMYFUNCTION("""COMPUTED_VALUE"""),"Glaciers")</f>
        <v>Glaciers</v>
      </c>
      <c r="S10" s="110" t="str">
        <f>IFERROR(__xludf.DUMMYFUNCTION("""COMPUTED_VALUE"""),"Spearmint")</f>
        <v>Spearmint</v>
      </c>
      <c r="T10" s="110" t="str">
        <f>IFERROR(__xludf.DUMMYFUNCTION("""COMPUTED_VALUE"""),"Toucans")</f>
        <v>Toucans</v>
      </c>
      <c r="U10" s="110" t="str">
        <f>IFERROR(__xludf.DUMMYFUNCTION("""COMPUTED_VALUE"""),"Manticore")</f>
        <v>Manticore</v>
      </c>
      <c r="V10" s="109">
        <f>IFERROR(__xludf.DUMMYFUNCTION("""COMPUTED_VALUE"""),45903.0)</f>
        <v>45903</v>
      </c>
      <c r="W10" s="73"/>
      <c r="X10" s="93"/>
      <c r="Y10" s="93"/>
      <c r="Z10" s="93"/>
    </row>
    <row r="11">
      <c r="A11" s="73"/>
      <c r="B11" s="55" t="str">
        <f>IFERROR(__xludf.DUMMYFUNCTION("""COMPUTED_VALUE"""),"Preseason 3")</f>
        <v>Preseason 3</v>
      </c>
      <c r="C11" s="82" t="str">
        <f>IFERROR(__xludf.DUMMYFUNCTION("""COMPUTED_VALUE"""),"Glams")</f>
        <v>Glams</v>
      </c>
      <c r="D11" s="83" t="str">
        <f>IFERROR(__xludf.DUMMYFUNCTION("""COMPUTED_VALUE"""),"Gold Hoarders")</f>
        <v>Gold Hoarders</v>
      </c>
      <c r="E11" s="83" t="str">
        <f>IFERROR(__xludf.DUMMYFUNCTION("""COMPUTED_VALUE"""),"Blitzars")</f>
        <v>Blitzars</v>
      </c>
      <c r="F11" s="83" t="str">
        <f>IFERROR(__xludf.DUMMYFUNCTION("""COMPUTED_VALUE"""),"Jinyiwei")</f>
        <v>Jinyiwei</v>
      </c>
      <c r="G11" s="73"/>
      <c r="H11" s="82" t="str">
        <f>IFERROR(__xludf.DUMMYFUNCTION("""COMPUTED_VALUE"""),"Havarti Hustlers")</f>
        <v>Havarti Hustlers</v>
      </c>
      <c r="I11" s="83" t="str">
        <f>IFERROR(__xludf.DUMMYFUNCTION("""COMPUTED_VALUE"""),"Insider Traders")</f>
        <v>Insider Traders</v>
      </c>
      <c r="J11" s="83" t="str">
        <f>IFERROR(__xludf.DUMMYFUNCTION("""COMPUTED_VALUE"""),"Apple Associates")</f>
        <v>Apple Associates</v>
      </c>
      <c r="K11" s="83" t="str">
        <f>IFERROR(__xludf.DUMMYFUNCTION("""COMPUTED_VALUE"""),"Warthogs")</f>
        <v>Warthogs</v>
      </c>
      <c r="L11" s="73"/>
      <c r="M11" s="82" t="str">
        <f>IFERROR(__xludf.DUMMYFUNCTION("""COMPUTED_VALUE"""),"Happy B-day Jess")</f>
        <v>Happy B-day Jess</v>
      </c>
      <c r="N11" s="83" t="str">
        <f>IFERROR(__xludf.DUMMYFUNCTION("""COMPUTED_VALUE"""),"Stingrays")</f>
        <v>Stingrays</v>
      </c>
      <c r="O11" s="83" t="str">
        <f>IFERROR(__xludf.DUMMYFUNCTION("""COMPUTED_VALUE"""),"Corals")</f>
        <v>Corals</v>
      </c>
      <c r="P11" s="83" t="str">
        <f>IFERROR(__xludf.DUMMYFUNCTION("""COMPUTED_VALUE"""),"Scribes")</f>
        <v>Scribes</v>
      </c>
      <c r="Q11" s="101"/>
      <c r="R11" s="82" t="str">
        <f>IFERROR(__xludf.DUMMYFUNCTION("""COMPUTED_VALUE"""),"Zombies")</f>
        <v>Zombies</v>
      </c>
      <c r="S11" s="83" t="str">
        <f>IFERROR(__xludf.DUMMYFUNCTION("""COMPUTED_VALUE"""),"Meat Lovers")</f>
        <v>Meat Lovers</v>
      </c>
      <c r="T11" s="83" t="str">
        <f>IFERROR(__xludf.DUMMYFUNCTION("""COMPUTED_VALUE"""),"Warbirds")</f>
        <v>Warbirds</v>
      </c>
      <c r="U11" s="83" t="str">
        <f>IFERROR(__xludf.DUMMYFUNCTION("""COMPUTED_VALUE"""),"Shade")</f>
        <v>Shade</v>
      </c>
      <c r="V11" s="109">
        <f>IFERROR(__xludf.DUMMYFUNCTION("""COMPUTED_VALUE"""),45908.0)</f>
        <v>45908</v>
      </c>
      <c r="W11" s="73"/>
      <c r="X11" s="93"/>
      <c r="Y11" s="93"/>
      <c r="Z11" s="93"/>
    </row>
    <row r="12">
      <c r="A12" s="73"/>
      <c r="B12" s="55" t="str">
        <f>IFERROR(__xludf.DUMMYFUNCTION("""COMPUTED_VALUE"""),"Match Day 1")</f>
        <v>Match Day 1</v>
      </c>
      <c r="C12" s="112" t="str">
        <f>IFERROR(__xludf.DUMMYFUNCTION("""COMPUTED_VALUE"""),"Void")</f>
        <v>Void</v>
      </c>
      <c r="D12" s="113" t="str">
        <f>IFERROR(__xludf.DUMMYFUNCTION("""COMPUTED_VALUE"""),"Olympic Knights")</f>
        <v>Olympic Knights</v>
      </c>
      <c r="E12" s="113" t="str">
        <f>IFERROR(__xludf.DUMMYFUNCTION("""COMPUTED_VALUE"""),"Cooks")</f>
        <v>Cooks</v>
      </c>
      <c r="F12" s="113" t="str">
        <f>IFERROR(__xludf.DUMMYFUNCTION("""COMPUTED_VALUE"""),"Porch Pirates")</f>
        <v>Porch Pirates</v>
      </c>
      <c r="G12" s="114"/>
      <c r="H12" s="113" t="str">
        <f>IFERROR(__xludf.DUMMYFUNCTION("""COMPUTED_VALUE"""),"Manticore")</f>
        <v>Manticore</v>
      </c>
      <c r="I12" s="113" t="str">
        <f>IFERROR(__xludf.DUMMYFUNCTION("""COMPUTED_VALUE"""),"Toucans")</f>
        <v>Toucans</v>
      </c>
      <c r="J12" s="113" t="str">
        <f>IFERROR(__xludf.DUMMYFUNCTION("""COMPUTED_VALUE"""),"Spearmint")</f>
        <v>Spearmint</v>
      </c>
      <c r="K12" s="113" t="str">
        <f>IFERROR(__xludf.DUMMYFUNCTION("""COMPUTED_VALUE"""),"Glaciers")</f>
        <v>Glaciers</v>
      </c>
      <c r="L12" s="114"/>
      <c r="M12" s="113" t="str">
        <f>IFERROR(__xludf.DUMMYFUNCTION("""COMPUTED_VALUE"""),"Panda Bears")</f>
        <v>Panda Bears</v>
      </c>
      <c r="N12" s="113" t="str">
        <f>IFERROR(__xludf.DUMMYFUNCTION("""COMPUTED_VALUE"""),"Decuriones")</f>
        <v>Decuriones</v>
      </c>
      <c r="O12" s="113" t="str">
        <f>IFERROR(__xludf.DUMMYFUNCTION("""COMPUTED_VALUE"""),"Thunder Pups")</f>
        <v>Thunder Pups</v>
      </c>
      <c r="P12" s="113" t="str">
        <f>IFERROR(__xludf.DUMMYFUNCTION("""COMPUTED_VALUE"""),"Sirens")</f>
        <v>Sirens</v>
      </c>
      <c r="Q12" s="115"/>
      <c r="R12" s="113" t="str">
        <f>IFERROR(__xludf.DUMMYFUNCTION("""COMPUTED_VALUE"""),"Ryujin")</f>
        <v>Ryujin</v>
      </c>
      <c r="S12" s="113" t="str">
        <f>IFERROR(__xludf.DUMMYFUNCTION("""COMPUTED_VALUE"""),"Threshers")</f>
        <v>Threshers</v>
      </c>
      <c r="T12" s="113" t="str">
        <f>IFERROR(__xludf.DUMMYFUNCTION("""COMPUTED_VALUE"""),"Chromatic Chaos")</f>
        <v>Chromatic Chaos</v>
      </c>
      <c r="U12" s="113" t="str">
        <f>IFERROR(__xludf.DUMMYFUNCTION("""COMPUTED_VALUE"""),"Metal")</f>
        <v>Metal</v>
      </c>
      <c r="V12" s="109">
        <f>IFERROR(__xludf.DUMMYFUNCTION("""COMPUTED_VALUE"""),45910.0)</f>
        <v>45910</v>
      </c>
      <c r="W12" s="73"/>
      <c r="X12" s="93"/>
      <c r="Y12" s="93"/>
      <c r="Z12" s="93"/>
    </row>
    <row r="13">
      <c r="A13" s="73"/>
      <c r="B13" s="55" t="str">
        <f>IFERROR(__xludf.DUMMYFUNCTION("""COMPUTED_VALUE"""),"Match Day 2")</f>
        <v>Match Day 2</v>
      </c>
      <c r="C13" s="116" t="str">
        <f>IFERROR(__xludf.DUMMYFUNCTION("""COMPUTED_VALUE"""),"Decuriones")</f>
        <v>Decuriones</v>
      </c>
      <c r="D13" s="117" t="str">
        <f>IFERROR(__xludf.DUMMYFUNCTION("""COMPUTED_VALUE"""),"Panda Bears")</f>
        <v>Panda Bears</v>
      </c>
      <c r="E13" s="117" t="str">
        <f>IFERROR(__xludf.DUMMYFUNCTION("""COMPUTED_VALUE"""),"Sirens")</f>
        <v>Sirens</v>
      </c>
      <c r="F13" s="117" t="str">
        <f>IFERROR(__xludf.DUMMYFUNCTION("""COMPUTED_VALUE"""),"Thunder Pups")</f>
        <v>Thunder Pups</v>
      </c>
      <c r="G13" s="107"/>
      <c r="H13" s="117" t="str">
        <f>IFERROR(__xludf.DUMMYFUNCTION("""COMPUTED_VALUE"""),"Threshers")</f>
        <v>Threshers</v>
      </c>
      <c r="I13" s="117" t="str">
        <f>IFERROR(__xludf.DUMMYFUNCTION("""COMPUTED_VALUE"""),"Ryujin")</f>
        <v>Ryujin</v>
      </c>
      <c r="J13" s="117" t="str">
        <f>IFERROR(__xludf.DUMMYFUNCTION("""COMPUTED_VALUE"""),"Metal")</f>
        <v>Metal</v>
      </c>
      <c r="K13" s="117" t="str">
        <f>IFERROR(__xludf.DUMMYFUNCTION("""COMPUTED_VALUE"""),"Chromatic Chaos")</f>
        <v>Chromatic Chaos</v>
      </c>
      <c r="L13" s="107"/>
      <c r="M13" s="117" t="str">
        <f>IFERROR(__xludf.DUMMYFUNCTION("""COMPUTED_VALUE"""),"Olympic Knights")</f>
        <v>Olympic Knights</v>
      </c>
      <c r="N13" s="117" t="str">
        <f>IFERROR(__xludf.DUMMYFUNCTION("""COMPUTED_VALUE"""),"Void")</f>
        <v>Void</v>
      </c>
      <c r="O13" s="117" t="str">
        <f>IFERROR(__xludf.DUMMYFUNCTION("""COMPUTED_VALUE"""),"Porch Pirates")</f>
        <v>Porch Pirates</v>
      </c>
      <c r="P13" s="117" t="str">
        <f>IFERROR(__xludf.DUMMYFUNCTION("""COMPUTED_VALUE"""),"Cooks")</f>
        <v>Cooks</v>
      </c>
      <c r="Q13" s="108"/>
      <c r="R13" s="117" t="str">
        <f>IFERROR(__xludf.DUMMYFUNCTION("""COMPUTED_VALUE"""),"Toucans")</f>
        <v>Toucans</v>
      </c>
      <c r="S13" s="117" t="str">
        <f>IFERROR(__xludf.DUMMYFUNCTION("""COMPUTED_VALUE"""),"Manticore")</f>
        <v>Manticore</v>
      </c>
      <c r="T13" s="117" t="str">
        <f>IFERROR(__xludf.DUMMYFUNCTION("""COMPUTED_VALUE"""),"Glaciers")</f>
        <v>Glaciers</v>
      </c>
      <c r="U13" s="117" t="str">
        <f>IFERROR(__xludf.DUMMYFUNCTION("""COMPUTED_VALUE"""),"Spearmint")</f>
        <v>Spearmint</v>
      </c>
      <c r="V13" s="109">
        <f>IFERROR(__xludf.DUMMYFUNCTION("""COMPUTED_VALUE"""),45915.0)</f>
        <v>45915</v>
      </c>
      <c r="W13" s="73"/>
      <c r="X13" s="93"/>
      <c r="Y13" s="93"/>
      <c r="Z13" s="93"/>
    </row>
    <row r="14">
      <c r="A14" s="73"/>
      <c r="B14" s="55" t="str">
        <f>IFERROR(__xludf.DUMMYFUNCTION("""COMPUTED_VALUE"""),"Match Day 3")</f>
        <v>Match Day 3</v>
      </c>
      <c r="C14" s="118" t="str">
        <f>IFERROR(__xludf.DUMMYFUNCTION("""COMPUTED_VALUE"""),"Glaciers")</f>
        <v>Glaciers</v>
      </c>
      <c r="D14" s="119" t="str">
        <f>IFERROR(__xludf.DUMMYFUNCTION("""COMPUTED_VALUE"""),"Spearmint")</f>
        <v>Spearmint</v>
      </c>
      <c r="E14" s="119" t="str">
        <f>IFERROR(__xludf.DUMMYFUNCTION("""COMPUTED_VALUE"""),"Toucans")</f>
        <v>Toucans</v>
      </c>
      <c r="F14" s="119" t="str">
        <f>IFERROR(__xludf.DUMMYFUNCTION("""COMPUTED_VALUE"""),"Manticore")</f>
        <v>Manticore</v>
      </c>
      <c r="G14" s="107"/>
      <c r="H14" s="119" t="str">
        <f>IFERROR(__xludf.DUMMYFUNCTION("""COMPUTED_VALUE"""),"Porch Pirates")</f>
        <v>Porch Pirates</v>
      </c>
      <c r="I14" s="119" t="str">
        <f>IFERROR(__xludf.DUMMYFUNCTION("""COMPUTED_VALUE"""),"Cooks")</f>
        <v>Cooks</v>
      </c>
      <c r="J14" s="119" t="str">
        <f>IFERROR(__xludf.DUMMYFUNCTION("""COMPUTED_VALUE"""),"Olympic Knights")</f>
        <v>Olympic Knights</v>
      </c>
      <c r="K14" s="119" t="str">
        <f>IFERROR(__xludf.DUMMYFUNCTION("""COMPUTED_VALUE"""),"Void")</f>
        <v>Void</v>
      </c>
      <c r="L14" s="107"/>
      <c r="M14" s="119" t="str">
        <f>IFERROR(__xludf.DUMMYFUNCTION("""COMPUTED_VALUE"""),"Metal")</f>
        <v>Metal</v>
      </c>
      <c r="N14" s="119" t="str">
        <f>IFERROR(__xludf.DUMMYFUNCTION("""COMPUTED_VALUE"""),"Chromatic Chaos")</f>
        <v>Chromatic Chaos</v>
      </c>
      <c r="O14" s="119" t="str">
        <f>IFERROR(__xludf.DUMMYFUNCTION("""COMPUTED_VALUE"""),"Threshers")</f>
        <v>Threshers</v>
      </c>
      <c r="P14" s="119" t="str">
        <f>IFERROR(__xludf.DUMMYFUNCTION("""COMPUTED_VALUE"""),"Ryujin")</f>
        <v>Ryujin</v>
      </c>
      <c r="Q14" s="120"/>
      <c r="R14" s="119" t="str">
        <f>IFERROR(__xludf.DUMMYFUNCTION("""COMPUTED_VALUE"""),"Sirens")</f>
        <v>Sirens</v>
      </c>
      <c r="S14" s="119" t="str">
        <f>IFERROR(__xludf.DUMMYFUNCTION("""COMPUTED_VALUE"""),"Thunder Pups")</f>
        <v>Thunder Pups</v>
      </c>
      <c r="T14" s="119" t="str">
        <f>IFERROR(__xludf.DUMMYFUNCTION("""COMPUTED_VALUE"""),"Decuriones")</f>
        <v>Decuriones</v>
      </c>
      <c r="U14" s="119" t="str">
        <f>IFERROR(__xludf.DUMMYFUNCTION("""COMPUTED_VALUE"""),"Panda Bears")</f>
        <v>Panda Bears</v>
      </c>
      <c r="V14" s="109">
        <f>IFERROR(__xludf.DUMMYFUNCTION("""COMPUTED_VALUE"""),45917.0)</f>
        <v>45917</v>
      </c>
      <c r="W14" s="73"/>
      <c r="X14" s="93"/>
      <c r="Y14" s="93"/>
      <c r="Z14" s="93"/>
    </row>
    <row r="15">
      <c r="A15" s="73"/>
      <c r="B15" s="55" t="str">
        <f>IFERROR(__xludf.DUMMYFUNCTION("""COMPUTED_VALUE"""),"Match Day 4")</f>
        <v>Match Day 4</v>
      </c>
      <c r="C15" s="118" t="str">
        <f>IFERROR(__xludf.DUMMYFUNCTION("""COMPUTED_VALUE"""),"Manticore")</f>
        <v>Manticore</v>
      </c>
      <c r="D15" s="119" t="str">
        <f>IFERROR(__xludf.DUMMYFUNCTION("""COMPUTED_VALUE"""),"Toucans")</f>
        <v>Toucans</v>
      </c>
      <c r="E15" s="119" t="str">
        <f>IFERROR(__xludf.DUMMYFUNCTION("""COMPUTED_VALUE"""),"Spearmint")</f>
        <v>Spearmint</v>
      </c>
      <c r="F15" s="119" t="str">
        <f>IFERROR(__xludf.DUMMYFUNCTION("""COMPUTED_VALUE"""),"Glaciers")</f>
        <v>Glaciers</v>
      </c>
      <c r="G15" s="107"/>
      <c r="H15" s="119" t="str">
        <f>IFERROR(__xludf.DUMMYFUNCTION("""COMPUTED_VALUE"""),"Void")</f>
        <v>Void</v>
      </c>
      <c r="I15" s="119" t="str">
        <f>IFERROR(__xludf.DUMMYFUNCTION("""COMPUTED_VALUE"""),"Olympic Knights")</f>
        <v>Olympic Knights</v>
      </c>
      <c r="J15" s="119" t="str">
        <f>IFERROR(__xludf.DUMMYFUNCTION("""COMPUTED_VALUE"""),"Cooks")</f>
        <v>Cooks</v>
      </c>
      <c r="K15" s="119" t="str">
        <f>IFERROR(__xludf.DUMMYFUNCTION("""COMPUTED_VALUE"""),"Porch Pirates")</f>
        <v>Porch Pirates</v>
      </c>
      <c r="L15" s="107"/>
      <c r="M15" s="119" t="str">
        <f>IFERROR(__xludf.DUMMYFUNCTION("""COMPUTED_VALUE"""),"Ryujin")</f>
        <v>Ryujin</v>
      </c>
      <c r="N15" s="119" t="str">
        <f>IFERROR(__xludf.DUMMYFUNCTION("""COMPUTED_VALUE"""),"Threshers")</f>
        <v>Threshers</v>
      </c>
      <c r="O15" s="119" t="str">
        <f>IFERROR(__xludf.DUMMYFUNCTION("""COMPUTED_VALUE"""),"Chromatic Chaos")</f>
        <v>Chromatic Chaos</v>
      </c>
      <c r="P15" s="119" t="str">
        <f>IFERROR(__xludf.DUMMYFUNCTION("""COMPUTED_VALUE"""),"Metal")</f>
        <v>Metal</v>
      </c>
      <c r="Q15" s="120"/>
      <c r="R15" s="119" t="str">
        <f>IFERROR(__xludf.DUMMYFUNCTION("""COMPUTED_VALUE"""),"Panda Bears")</f>
        <v>Panda Bears</v>
      </c>
      <c r="S15" s="119" t="str">
        <f>IFERROR(__xludf.DUMMYFUNCTION("""COMPUTED_VALUE"""),"Decuriones")</f>
        <v>Decuriones</v>
      </c>
      <c r="T15" s="119" t="str">
        <f>IFERROR(__xludf.DUMMYFUNCTION("""COMPUTED_VALUE"""),"Thunder Pups")</f>
        <v>Thunder Pups</v>
      </c>
      <c r="U15" s="119" t="str">
        <f>IFERROR(__xludf.DUMMYFUNCTION("""COMPUTED_VALUE"""),"Sirens")</f>
        <v>Sirens</v>
      </c>
      <c r="V15" s="109">
        <f>IFERROR(__xludf.DUMMYFUNCTION("""COMPUTED_VALUE"""),45922.0)</f>
        <v>45922</v>
      </c>
      <c r="W15" s="73"/>
      <c r="X15" s="93"/>
      <c r="Y15" s="93"/>
      <c r="Z15" s="93"/>
    </row>
    <row r="16">
      <c r="A16" s="73"/>
      <c r="B16" s="55" t="str">
        <f>IFERROR(__xludf.DUMMYFUNCTION("""COMPUTED_VALUE"""),"Match Day 5")</f>
        <v>Match Day 5</v>
      </c>
      <c r="C16" s="118" t="str">
        <f>IFERROR(__xludf.DUMMYFUNCTION("""COMPUTED_VALUE"""),"Spearmint")</f>
        <v>Spearmint</v>
      </c>
      <c r="D16" s="119" t="str">
        <f>IFERROR(__xludf.DUMMYFUNCTION("""COMPUTED_VALUE"""),"Glaciers")</f>
        <v>Glaciers</v>
      </c>
      <c r="E16" s="119" t="str">
        <f>IFERROR(__xludf.DUMMYFUNCTION("""COMPUTED_VALUE"""),"Manticore")</f>
        <v>Manticore</v>
      </c>
      <c r="F16" s="119" t="str">
        <f>IFERROR(__xludf.DUMMYFUNCTION("""COMPUTED_VALUE"""),"Toucans")</f>
        <v>Toucans</v>
      </c>
      <c r="G16" s="107"/>
      <c r="H16" s="119" t="str">
        <f>IFERROR(__xludf.DUMMYFUNCTION("""COMPUTED_VALUE"""),"Cooks")</f>
        <v>Cooks</v>
      </c>
      <c r="I16" s="119" t="str">
        <f>IFERROR(__xludf.DUMMYFUNCTION("""COMPUTED_VALUE"""),"Porch Pirates")</f>
        <v>Porch Pirates</v>
      </c>
      <c r="J16" s="119" t="str">
        <f>IFERROR(__xludf.DUMMYFUNCTION("""COMPUTED_VALUE"""),"Void")</f>
        <v>Void</v>
      </c>
      <c r="K16" s="119" t="str">
        <f>IFERROR(__xludf.DUMMYFUNCTION("""COMPUTED_VALUE"""),"Olympic Knights")</f>
        <v>Olympic Knights</v>
      </c>
      <c r="L16" s="107"/>
      <c r="M16" s="119" t="str">
        <f>IFERROR(__xludf.DUMMYFUNCTION("""COMPUTED_VALUE"""),"Chromatic Chaos")</f>
        <v>Chromatic Chaos</v>
      </c>
      <c r="N16" s="119" t="str">
        <f>IFERROR(__xludf.DUMMYFUNCTION("""COMPUTED_VALUE"""),"Metal")</f>
        <v>Metal</v>
      </c>
      <c r="O16" s="119" t="str">
        <f>IFERROR(__xludf.DUMMYFUNCTION("""COMPUTED_VALUE"""),"Ryujin")</f>
        <v>Ryujin</v>
      </c>
      <c r="P16" s="119" t="str">
        <f>IFERROR(__xludf.DUMMYFUNCTION("""COMPUTED_VALUE"""),"Threshers")</f>
        <v>Threshers</v>
      </c>
      <c r="Q16" s="120"/>
      <c r="R16" s="119" t="str">
        <f>IFERROR(__xludf.DUMMYFUNCTION("""COMPUTED_VALUE"""),"Thunder Pups")</f>
        <v>Thunder Pups</v>
      </c>
      <c r="S16" s="119" t="str">
        <f>IFERROR(__xludf.DUMMYFUNCTION("""COMPUTED_VALUE"""),"Sirens")</f>
        <v>Sirens</v>
      </c>
      <c r="T16" s="119" t="str">
        <f>IFERROR(__xludf.DUMMYFUNCTION("""COMPUTED_VALUE"""),"Panda Bears")</f>
        <v>Panda Bears</v>
      </c>
      <c r="U16" s="119" t="str">
        <f>IFERROR(__xludf.DUMMYFUNCTION("""COMPUTED_VALUE"""),"Decuriones")</f>
        <v>Decuriones</v>
      </c>
      <c r="V16" s="59">
        <f>IFERROR(__xludf.DUMMYFUNCTION("""COMPUTED_VALUE"""),45924.0)</f>
        <v>45924</v>
      </c>
      <c r="W16" s="73"/>
      <c r="X16" s="93"/>
      <c r="Y16" s="93"/>
      <c r="Z16" s="93"/>
    </row>
    <row r="17">
      <c r="A17" s="73"/>
      <c r="B17" s="55" t="str">
        <f>IFERROR(__xludf.DUMMYFUNCTION("""COMPUTED_VALUE"""),"Match Day 6")</f>
        <v>Match Day 6</v>
      </c>
      <c r="C17" s="121" t="str">
        <f>IFERROR(__xludf.DUMMYFUNCTION("""COMPUTED_VALUE"""),"Insider Traders")</f>
        <v>Insider Traders</v>
      </c>
      <c r="D17" s="122" t="str">
        <f>IFERROR(__xludf.DUMMYFUNCTION("""COMPUTED_VALUE"""),"Havarti Hustlers")</f>
        <v>Havarti Hustlers</v>
      </c>
      <c r="E17" s="122" t="str">
        <f>IFERROR(__xludf.DUMMYFUNCTION("""COMPUTED_VALUE"""),"Warthogs")</f>
        <v>Warthogs</v>
      </c>
      <c r="F17" s="122" t="str">
        <f>IFERROR(__xludf.DUMMYFUNCTION("""COMPUTED_VALUE"""),"Apple Associates")</f>
        <v>Apple Associates</v>
      </c>
      <c r="G17" s="107"/>
      <c r="H17" s="122" t="str">
        <f>IFERROR(__xludf.DUMMYFUNCTION("""COMPUTED_VALUE"""),"Gold Hoarders")</f>
        <v>Gold Hoarders</v>
      </c>
      <c r="I17" s="122" t="str">
        <f>IFERROR(__xludf.DUMMYFUNCTION("""COMPUTED_VALUE"""),"Glams")</f>
        <v>Glams</v>
      </c>
      <c r="J17" s="122" t="str">
        <f>IFERROR(__xludf.DUMMYFUNCTION("""COMPUTED_VALUE"""),"Jinyiwei")</f>
        <v>Jinyiwei</v>
      </c>
      <c r="K17" s="122" t="str">
        <f>IFERROR(__xludf.DUMMYFUNCTION("""COMPUTED_VALUE"""),"Blitzars")</f>
        <v>Blitzars</v>
      </c>
      <c r="L17" s="107"/>
      <c r="M17" s="122" t="str">
        <f>IFERROR(__xludf.DUMMYFUNCTION("""COMPUTED_VALUE"""),"Meat Lovers")</f>
        <v>Meat Lovers</v>
      </c>
      <c r="N17" s="122" t="str">
        <f>IFERROR(__xludf.DUMMYFUNCTION("""COMPUTED_VALUE"""),"Zombies")</f>
        <v>Zombies</v>
      </c>
      <c r="O17" s="122" t="str">
        <f>IFERROR(__xludf.DUMMYFUNCTION("""COMPUTED_VALUE"""),"Shade")</f>
        <v>Shade</v>
      </c>
      <c r="P17" s="122" t="str">
        <f>IFERROR(__xludf.DUMMYFUNCTION("""COMPUTED_VALUE"""),"Warbirds")</f>
        <v>Warbirds</v>
      </c>
      <c r="Q17" s="120"/>
      <c r="R17" s="122" t="str">
        <f>IFERROR(__xludf.DUMMYFUNCTION("""COMPUTED_VALUE"""),"Stingrays")</f>
        <v>Stingrays</v>
      </c>
      <c r="S17" s="122" t="str">
        <f>IFERROR(__xludf.DUMMYFUNCTION("""COMPUTED_VALUE"""),"Happy B-day Jess")</f>
        <v>Happy B-day Jess</v>
      </c>
      <c r="T17" s="122" t="str">
        <f>IFERROR(__xludf.DUMMYFUNCTION("""COMPUTED_VALUE"""),"Scribes")</f>
        <v>Scribes</v>
      </c>
      <c r="U17" s="122" t="str">
        <f>IFERROR(__xludf.DUMMYFUNCTION("""COMPUTED_VALUE"""),"Corals")</f>
        <v>Corals</v>
      </c>
      <c r="V17" s="59">
        <f>IFERROR(__xludf.DUMMYFUNCTION("""COMPUTED_VALUE"""),45929.0)</f>
        <v>45929</v>
      </c>
      <c r="W17" s="73"/>
      <c r="X17" s="93"/>
      <c r="Y17" s="93"/>
      <c r="Z17" s="93"/>
    </row>
    <row r="18">
      <c r="A18" s="73"/>
      <c r="B18" s="55" t="str">
        <f>IFERROR(__xludf.DUMMYFUNCTION("""COMPUTED_VALUE"""),"Match Day 7")</f>
        <v>Match Day 7</v>
      </c>
      <c r="C18" s="121" t="str">
        <f>IFERROR(__xludf.DUMMYFUNCTION("""COMPUTED_VALUE"""),"Havarti Hustlers")</f>
        <v>Havarti Hustlers</v>
      </c>
      <c r="D18" s="122" t="str">
        <f>IFERROR(__xludf.DUMMYFUNCTION("""COMPUTED_VALUE"""),"Insider Traders")</f>
        <v>Insider Traders</v>
      </c>
      <c r="E18" s="122" t="str">
        <f>IFERROR(__xludf.DUMMYFUNCTION("""COMPUTED_VALUE"""),"Apple Associates")</f>
        <v>Apple Associates</v>
      </c>
      <c r="F18" s="122" t="str">
        <f>IFERROR(__xludf.DUMMYFUNCTION("""COMPUTED_VALUE"""),"Warthogs")</f>
        <v>Warthogs</v>
      </c>
      <c r="G18" s="107"/>
      <c r="H18" s="122" t="str">
        <f>IFERROR(__xludf.DUMMYFUNCTION("""COMPUTED_VALUE"""),"Glams")</f>
        <v>Glams</v>
      </c>
      <c r="I18" s="122" t="str">
        <f>IFERROR(__xludf.DUMMYFUNCTION("""COMPUTED_VALUE"""),"Gold Hoarders")</f>
        <v>Gold Hoarders</v>
      </c>
      <c r="J18" s="122" t="str">
        <f>IFERROR(__xludf.DUMMYFUNCTION("""COMPUTED_VALUE"""),"Blitzars")</f>
        <v>Blitzars</v>
      </c>
      <c r="K18" s="122" t="str">
        <f>IFERROR(__xludf.DUMMYFUNCTION("""COMPUTED_VALUE"""),"Jinyiwei")</f>
        <v>Jinyiwei</v>
      </c>
      <c r="L18" s="107"/>
      <c r="M18" s="122" t="str">
        <f>IFERROR(__xludf.DUMMYFUNCTION("""COMPUTED_VALUE"""),"Zombies")</f>
        <v>Zombies</v>
      </c>
      <c r="N18" s="122" t="str">
        <f>IFERROR(__xludf.DUMMYFUNCTION("""COMPUTED_VALUE"""),"Meat Lovers")</f>
        <v>Meat Lovers</v>
      </c>
      <c r="O18" s="122" t="str">
        <f>IFERROR(__xludf.DUMMYFUNCTION("""COMPUTED_VALUE"""),"Warbirds")</f>
        <v>Warbirds</v>
      </c>
      <c r="P18" s="122" t="str">
        <f>IFERROR(__xludf.DUMMYFUNCTION("""COMPUTED_VALUE"""),"Shade")</f>
        <v>Shade</v>
      </c>
      <c r="Q18" s="120"/>
      <c r="R18" s="122" t="str">
        <f>IFERROR(__xludf.DUMMYFUNCTION("""COMPUTED_VALUE"""),"Happy B-day Jess")</f>
        <v>Happy B-day Jess</v>
      </c>
      <c r="S18" s="122" t="str">
        <f>IFERROR(__xludf.DUMMYFUNCTION("""COMPUTED_VALUE"""),"Stingrays")</f>
        <v>Stingrays</v>
      </c>
      <c r="T18" s="122" t="str">
        <f>IFERROR(__xludf.DUMMYFUNCTION("""COMPUTED_VALUE"""),"Corals")</f>
        <v>Corals</v>
      </c>
      <c r="U18" s="122" t="str">
        <f>IFERROR(__xludf.DUMMYFUNCTION("""COMPUTED_VALUE"""),"Scribes")</f>
        <v>Scribes</v>
      </c>
      <c r="V18" s="59">
        <f>IFERROR(__xludf.DUMMYFUNCTION("""COMPUTED_VALUE"""),45931.0)</f>
        <v>45931</v>
      </c>
      <c r="W18" s="73"/>
      <c r="X18" s="93"/>
      <c r="Y18" s="93"/>
      <c r="Z18" s="93"/>
    </row>
    <row r="19">
      <c r="A19" s="73"/>
      <c r="B19" s="55" t="str">
        <f>IFERROR(__xludf.DUMMYFUNCTION("""COMPUTED_VALUE"""),"Match Day 8")</f>
        <v>Match Day 8</v>
      </c>
      <c r="C19" s="121" t="str">
        <f>IFERROR(__xludf.DUMMYFUNCTION("""COMPUTED_VALUE"""),"Warthogs")</f>
        <v>Warthogs</v>
      </c>
      <c r="D19" s="122" t="str">
        <f>IFERROR(__xludf.DUMMYFUNCTION("""COMPUTED_VALUE"""),"Apple Associates")</f>
        <v>Apple Associates</v>
      </c>
      <c r="E19" s="122" t="str">
        <f>IFERROR(__xludf.DUMMYFUNCTION("""COMPUTED_VALUE"""),"Insider Traders")</f>
        <v>Insider Traders</v>
      </c>
      <c r="F19" s="122" t="str">
        <f>IFERROR(__xludf.DUMMYFUNCTION("""COMPUTED_VALUE"""),"Havarti Hustlers")</f>
        <v>Havarti Hustlers</v>
      </c>
      <c r="G19" s="107"/>
      <c r="H19" s="122" t="str">
        <f>IFERROR(__xludf.DUMMYFUNCTION("""COMPUTED_VALUE"""),"Jinyiwei")</f>
        <v>Jinyiwei</v>
      </c>
      <c r="I19" s="122" t="str">
        <f>IFERROR(__xludf.DUMMYFUNCTION("""COMPUTED_VALUE"""),"Blitzars")</f>
        <v>Blitzars</v>
      </c>
      <c r="J19" s="122" t="str">
        <f>IFERROR(__xludf.DUMMYFUNCTION("""COMPUTED_VALUE"""),"Gold Hoarders")</f>
        <v>Gold Hoarders</v>
      </c>
      <c r="K19" s="122" t="str">
        <f>IFERROR(__xludf.DUMMYFUNCTION("""COMPUTED_VALUE"""),"Glams")</f>
        <v>Glams</v>
      </c>
      <c r="L19" s="107"/>
      <c r="M19" s="122" t="str">
        <f>IFERROR(__xludf.DUMMYFUNCTION("""COMPUTED_VALUE"""),"Shade")</f>
        <v>Shade</v>
      </c>
      <c r="N19" s="122" t="str">
        <f>IFERROR(__xludf.DUMMYFUNCTION("""COMPUTED_VALUE"""),"Warbirds")</f>
        <v>Warbirds</v>
      </c>
      <c r="O19" s="122" t="str">
        <f>IFERROR(__xludf.DUMMYFUNCTION("""COMPUTED_VALUE"""),"Meat Lovers")</f>
        <v>Meat Lovers</v>
      </c>
      <c r="P19" s="122" t="str">
        <f>IFERROR(__xludf.DUMMYFUNCTION("""COMPUTED_VALUE"""),"Zombies")</f>
        <v>Zombies</v>
      </c>
      <c r="Q19" s="120"/>
      <c r="R19" s="122" t="str">
        <f>IFERROR(__xludf.DUMMYFUNCTION("""COMPUTED_VALUE"""),"Scribes")</f>
        <v>Scribes</v>
      </c>
      <c r="S19" s="122" t="str">
        <f>IFERROR(__xludf.DUMMYFUNCTION("""COMPUTED_VALUE"""),"Corals")</f>
        <v>Corals</v>
      </c>
      <c r="T19" s="122" t="str">
        <f>IFERROR(__xludf.DUMMYFUNCTION("""COMPUTED_VALUE"""),"Stingrays")</f>
        <v>Stingrays</v>
      </c>
      <c r="U19" s="122" t="str">
        <f>IFERROR(__xludf.DUMMYFUNCTION("""COMPUTED_VALUE"""),"Happy B-day Jess")</f>
        <v>Happy B-day Jess</v>
      </c>
      <c r="V19" s="59">
        <f>IFERROR(__xludf.DUMMYFUNCTION("""COMPUTED_VALUE"""),45936.0)</f>
        <v>45936</v>
      </c>
      <c r="W19" s="73"/>
      <c r="X19" s="93"/>
      <c r="Y19" s="93"/>
      <c r="Z19" s="93"/>
    </row>
    <row r="20">
      <c r="A20" s="73"/>
      <c r="B20" s="67" t="str">
        <f>IFERROR(__xludf.DUMMYFUNCTION("""COMPUTED_VALUE"""),"Match Day 9")</f>
        <v>Match Day 9</v>
      </c>
      <c r="C20" s="116" t="str">
        <f>IFERROR(__xludf.DUMMYFUNCTION("""COMPUTED_VALUE"""),"Threshers")</f>
        <v>Threshers</v>
      </c>
      <c r="D20" s="117" t="str">
        <f>IFERROR(__xludf.DUMMYFUNCTION("""COMPUTED_VALUE"""),"Ryujin")</f>
        <v>Ryujin</v>
      </c>
      <c r="E20" s="117" t="str">
        <f>IFERROR(__xludf.DUMMYFUNCTION("""COMPUTED_VALUE"""),"Metal")</f>
        <v>Metal</v>
      </c>
      <c r="F20" s="117" t="str">
        <f>IFERROR(__xludf.DUMMYFUNCTION("""COMPUTED_VALUE"""),"Chromatic Chaos")</f>
        <v>Chromatic Chaos</v>
      </c>
      <c r="G20" s="107"/>
      <c r="H20" s="117" t="str">
        <f>IFERROR(__xludf.DUMMYFUNCTION("""COMPUTED_VALUE"""),"Decuriones")</f>
        <v>Decuriones</v>
      </c>
      <c r="I20" s="117" t="str">
        <f>IFERROR(__xludf.DUMMYFUNCTION("""COMPUTED_VALUE"""),"Panda Bears")</f>
        <v>Panda Bears</v>
      </c>
      <c r="J20" s="117" t="str">
        <f>IFERROR(__xludf.DUMMYFUNCTION("""COMPUTED_VALUE"""),"Sirens")</f>
        <v>Sirens</v>
      </c>
      <c r="K20" s="117" t="str">
        <f>IFERROR(__xludf.DUMMYFUNCTION("""COMPUTED_VALUE"""),"Thunder Pups")</f>
        <v>Thunder Pups</v>
      </c>
      <c r="L20" s="107"/>
      <c r="M20" s="117" t="str">
        <f>IFERROR(__xludf.DUMMYFUNCTION("""COMPUTED_VALUE"""),"Toucans")</f>
        <v>Toucans</v>
      </c>
      <c r="N20" s="117" t="str">
        <f>IFERROR(__xludf.DUMMYFUNCTION("""COMPUTED_VALUE"""),"Manticore")</f>
        <v>Manticore</v>
      </c>
      <c r="O20" s="117" t="str">
        <f>IFERROR(__xludf.DUMMYFUNCTION("""COMPUTED_VALUE"""),"Glaciers")</f>
        <v>Glaciers</v>
      </c>
      <c r="P20" s="117" t="str">
        <f>IFERROR(__xludf.DUMMYFUNCTION("""COMPUTED_VALUE"""),"Spearmint")</f>
        <v>Spearmint</v>
      </c>
      <c r="Q20" s="120"/>
      <c r="R20" s="117" t="str">
        <f>IFERROR(__xludf.DUMMYFUNCTION("""COMPUTED_VALUE"""),"Olympic Knights")</f>
        <v>Olympic Knights</v>
      </c>
      <c r="S20" s="117" t="str">
        <f>IFERROR(__xludf.DUMMYFUNCTION("""COMPUTED_VALUE"""),"Void")</f>
        <v>Void</v>
      </c>
      <c r="T20" s="117" t="str">
        <f>IFERROR(__xludf.DUMMYFUNCTION("""COMPUTED_VALUE"""),"Porch Pirates")</f>
        <v>Porch Pirates</v>
      </c>
      <c r="U20" s="117" t="str">
        <f>IFERROR(__xludf.DUMMYFUNCTION("""COMPUTED_VALUE"""),"Cooks")</f>
        <v>Cooks</v>
      </c>
      <c r="V20" s="59">
        <f>IFERROR(__xludf.DUMMYFUNCTION("""COMPUTED_VALUE"""),45938.0)</f>
        <v>45938</v>
      </c>
      <c r="W20" s="73"/>
      <c r="X20" s="93"/>
      <c r="Y20" s="93"/>
      <c r="Z20" s="93"/>
    </row>
    <row r="21">
      <c r="A21" s="73"/>
      <c r="B21" s="55" t="str">
        <f>IFERROR(__xludf.DUMMYFUNCTION("""COMPUTED_VALUE"""),"Match Day 10")</f>
        <v>Match Day 10</v>
      </c>
      <c r="C21" s="116" t="str">
        <f>IFERROR(__xludf.DUMMYFUNCTION("""COMPUTED_VALUE"""),"Ryujin")</f>
        <v>Ryujin</v>
      </c>
      <c r="D21" s="117" t="str">
        <f>IFERROR(__xludf.DUMMYFUNCTION("""COMPUTED_VALUE"""),"Threshers")</f>
        <v>Threshers</v>
      </c>
      <c r="E21" s="117" t="str">
        <f>IFERROR(__xludf.DUMMYFUNCTION("""COMPUTED_VALUE"""),"Chromatic Chaos")</f>
        <v>Chromatic Chaos</v>
      </c>
      <c r="F21" s="117" t="str">
        <f>IFERROR(__xludf.DUMMYFUNCTION("""COMPUTED_VALUE"""),"Metal")</f>
        <v>Metal</v>
      </c>
      <c r="G21" s="107"/>
      <c r="H21" s="117" t="str">
        <f>IFERROR(__xludf.DUMMYFUNCTION("""COMPUTED_VALUE"""),"Panda Bears")</f>
        <v>Panda Bears</v>
      </c>
      <c r="I21" s="117" t="str">
        <f>IFERROR(__xludf.DUMMYFUNCTION("""COMPUTED_VALUE"""),"Decuriones")</f>
        <v>Decuriones</v>
      </c>
      <c r="J21" s="117" t="str">
        <f>IFERROR(__xludf.DUMMYFUNCTION("""COMPUTED_VALUE"""),"Thunder Pups")</f>
        <v>Thunder Pups</v>
      </c>
      <c r="K21" s="88" t="str">
        <f>IFERROR(__xludf.DUMMYFUNCTION("""COMPUTED_VALUE"""),"Sirens")</f>
        <v>Sirens</v>
      </c>
      <c r="L21" s="107"/>
      <c r="M21" s="117" t="str">
        <f>IFERROR(__xludf.DUMMYFUNCTION("""COMPUTED_VALUE"""),"Manticore")</f>
        <v>Manticore</v>
      </c>
      <c r="N21" s="117" t="str">
        <f>IFERROR(__xludf.DUMMYFUNCTION("""COMPUTED_VALUE"""),"Toucans")</f>
        <v>Toucans</v>
      </c>
      <c r="O21" s="117" t="str">
        <f>IFERROR(__xludf.DUMMYFUNCTION("""COMPUTED_VALUE"""),"Spearmint")</f>
        <v>Spearmint</v>
      </c>
      <c r="P21" s="117" t="str">
        <f>IFERROR(__xludf.DUMMYFUNCTION("""COMPUTED_VALUE"""),"Glaciers")</f>
        <v>Glaciers</v>
      </c>
      <c r="Q21" s="120"/>
      <c r="R21" s="117" t="str">
        <f>IFERROR(__xludf.DUMMYFUNCTION("""COMPUTED_VALUE"""),"Void")</f>
        <v>Void</v>
      </c>
      <c r="S21" s="117" t="str">
        <f>IFERROR(__xludf.DUMMYFUNCTION("""COMPUTED_VALUE"""),"Olympic Knights")</f>
        <v>Olympic Knights</v>
      </c>
      <c r="T21" s="117" t="str">
        <f>IFERROR(__xludf.DUMMYFUNCTION("""COMPUTED_VALUE"""),"Cooks")</f>
        <v>Cooks</v>
      </c>
      <c r="U21" s="117" t="str">
        <f>IFERROR(__xludf.DUMMYFUNCTION("""COMPUTED_VALUE"""),"Porch Pirates")</f>
        <v>Porch Pirates</v>
      </c>
      <c r="V21" s="59">
        <f>IFERROR(__xludf.DUMMYFUNCTION("""COMPUTED_VALUE"""),45945.0)</f>
        <v>45945</v>
      </c>
      <c r="W21" s="73"/>
      <c r="X21" s="93"/>
      <c r="Y21" s="93"/>
      <c r="Z21" s="93"/>
    </row>
    <row r="22">
      <c r="A22" s="73"/>
      <c r="B22" s="55" t="str">
        <f>IFERROR(__xludf.DUMMYFUNCTION("""COMPUTED_VALUE"""),"Match Day 11")</f>
        <v>Match Day 11</v>
      </c>
      <c r="C22" s="116" t="str">
        <f>IFERROR(__xludf.DUMMYFUNCTION("""COMPUTED_VALUE"""),"Metal")</f>
        <v>Metal</v>
      </c>
      <c r="D22" s="117" t="str">
        <f>IFERROR(__xludf.DUMMYFUNCTION("""COMPUTED_VALUE"""),"Chromatic Chaos")</f>
        <v>Chromatic Chaos</v>
      </c>
      <c r="E22" s="117" t="str">
        <f>IFERROR(__xludf.DUMMYFUNCTION("""COMPUTED_VALUE"""),"Threshers")</f>
        <v>Threshers</v>
      </c>
      <c r="F22" s="117" t="str">
        <f>IFERROR(__xludf.DUMMYFUNCTION("""COMPUTED_VALUE"""),"Ryujin")</f>
        <v>Ryujin</v>
      </c>
      <c r="G22" s="107"/>
      <c r="H22" s="88" t="str">
        <f>IFERROR(__xludf.DUMMYFUNCTION("""COMPUTED_VALUE"""),"Sirens")</f>
        <v>Sirens</v>
      </c>
      <c r="I22" s="117" t="str">
        <f>IFERROR(__xludf.DUMMYFUNCTION("""COMPUTED_VALUE"""),"Thunder Pups")</f>
        <v>Thunder Pups</v>
      </c>
      <c r="J22" s="117" t="str">
        <f>IFERROR(__xludf.DUMMYFUNCTION("""COMPUTED_VALUE"""),"Decuriones")</f>
        <v>Decuriones</v>
      </c>
      <c r="K22" s="117" t="str">
        <f>IFERROR(__xludf.DUMMYFUNCTION("""COMPUTED_VALUE"""),"Panda Bears")</f>
        <v>Panda Bears</v>
      </c>
      <c r="L22" s="107"/>
      <c r="M22" s="117" t="str">
        <f>IFERROR(__xludf.DUMMYFUNCTION("""COMPUTED_VALUE"""),"Glaciers")</f>
        <v>Glaciers</v>
      </c>
      <c r="N22" s="117" t="str">
        <f>IFERROR(__xludf.DUMMYFUNCTION("""COMPUTED_VALUE"""),"Spearmint")</f>
        <v>Spearmint</v>
      </c>
      <c r="O22" s="117" t="str">
        <f>IFERROR(__xludf.DUMMYFUNCTION("""COMPUTED_VALUE"""),"Toucans")</f>
        <v>Toucans</v>
      </c>
      <c r="P22" s="117" t="str">
        <f>IFERROR(__xludf.DUMMYFUNCTION("""COMPUTED_VALUE"""),"Manticore")</f>
        <v>Manticore</v>
      </c>
      <c r="Q22" s="120"/>
      <c r="R22" s="117" t="str">
        <f>IFERROR(__xludf.DUMMYFUNCTION("""COMPUTED_VALUE"""),"Porch Pirates")</f>
        <v>Porch Pirates</v>
      </c>
      <c r="S22" s="117" t="str">
        <f>IFERROR(__xludf.DUMMYFUNCTION("""COMPUTED_VALUE"""),"Cooks")</f>
        <v>Cooks</v>
      </c>
      <c r="T22" s="117" t="str">
        <f>IFERROR(__xludf.DUMMYFUNCTION("""COMPUTED_VALUE"""),"Olympic Knights")</f>
        <v>Olympic Knights</v>
      </c>
      <c r="U22" s="117" t="str">
        <f>IFERROR(__xludf.DUMMYFUNCTION("""COMPUTED_VALUE"""),"Void")</f>
        <v>Void</v>
      </c>
      <c r="V22" s="59">
        <f>IFERROR(__xludf.DUMMYFUNCTION("""COMPUTED_VALUE"""),45950.0)</f>
        <v>45950</v>
      </c>
      <c r="W22" s="73"/>
      <c r="X22" s="93"/>
      <c r="Y22" s="93"/>
      <c r="Z22" s="93"/>
    </row>
    <row r="23">
      <c r="A23" s="73"/>
      <c r="B23" s="68" t="str">
        <f>IFERROR(__xludf.DUMMYFUNCTION("""COMPUTED_VALUE"""),"Match Day 12")</f>
        <v>Match Day 12</v>
      </c>
      <c r="C23" s="116" t="str">
        <f>IFERROR(__xludf.DUMMYFUNCTION("""COMPUTED_VALUE"""),"Chromatic Chaos")</f>
        <v>Chromatic Chaos</v>
      </c>
      <c r="D23" s="117" t="str">
        <f>IFERROR(__xludf.DUMMYFUNCTION("""COMPUTED_VALUE"""),"Metal")</f>
        <v>Metal</v>
      </c>
      <c r="E23" s="117" t="str">
        <f>IFERROR(__xludf.DUMMYFUNCTION("""COMPUTED_VALUE"""),"Ryujin")</f>
        <v>Ryujin</v>
      </c>
      <c r="F23" s="117" t="str">
        <f>IFERROR(__xludf.DUMMYFUNCTION("""COMPUTED_VALUE"""),"Threshers")</f>
        <v>Threshers</v>
      </c>
      <c r="G23" s="107"/>
      <c r="H23" s="117" t="str">
        <f>IFERROR(__xludf.DUMMYFUNCTION("""COMPUTED_VALUE"""),"Thunder Pups")</f>
        <v>Thunder Pups</v>
      </c>
      <c r="I23" s="117" t="str">
        <f>IFERROR(__xludf.DUMMYFUNCTION("""COMPUTED_VALUE"""),"Sirens")</f>
        <v>Sirens</v>
      </c>
      <c r="J23" s="117" t="str">
        <f>IFERROR(__xludf.DUMMYFUNCTION("""COMPUTED_VALUE"""),"Panda Bears")</f>
        <v>Panda Bears</v>
      </c>
      <c r="K23" s="117" t="str">
        <f>IFERROR(__xludf.DUMMYFUNCTION("""COMPUTED_VALUE"""),"Decuriones")</f>
        <v>Decuriones</v>
      </c>
      <c r="L23" s="107"/>
      <c r="M23" s="117" t="str">
        <f>IFERROR(__xludf.DUMMYFUNCTION("""COMPUTED_VALUE"""),"Spearmint")</f>
        <v>Spearmint</v>
      </c>
      <c r="N23" s="117" t="str">
        <f>IFERROR(__xludf.DUMMYFUNCTION("""COMPUTED_VALUE"""),"Glaciers")</f>
        <v>Glaciers</v>
      </c>
      <c r="O23" s="117" t="str">
        <f>IFERROR(__xludf.DUMMYFUNCTION("""COMPUTED_VALUE"""),"Manticore")</f>
        <v>Manticore</v>
      </c>
      <c r="P23" s="117" t="str">
        <f>IFERROR(__xludf.DUMMYFUNCTION("""COMPUTED_VALUE"""),"Toucans")</f>
        <v>Toucans</v>
      </c>
      <c r="Q23" s="120"/>
      <c r="R23" s="117" t="str">
        <f>IFERROR(__xludf.DUMMYFUNCTION("""COMPUTED_VALUE"""),"Cooks")</f>
        <v>Cooks</v>
      </c>
      <c r="S23" s="117" t="str">
        <f>IFERROR(__xludf.DUMMYFUNCTION("""COMPUTED_VALUE"""),"Porch Pirates")</f>
        <v>Porch Pirates</v>
      </c>
      <c r="T23" s="117" t="str">
        <f>IFERROR(__xludf.DUMMYFUNCTION("""COMPUTED_VALUE"""),"Void")</f>
        <v>Void</v>
      </c>
      <c r="U23" s="117" t="str">
        <f>IFERROR(__xludf.DUMMYFUNCTION("""COMPUTED_VALUE"""),"Olympic Knights")</f>
        <v>Olympic Knights</v>
      </c>
      <c r="V23" s="59">
        <f>IFERROR(__xludf.DUMMYFUNCTION("""COMPUTED_VALUE"""),45952.0)</f>
        <v>45952</v>
      </c>
      <c r="W23" s="73"/>
      <c r="X23" s="93"/>
      <c r="Y23" s="93"/>
      <c r="Z23" s="93"/>
    </row>
    <row r="24">
      <c r="A24" s="73"/>
      <c r="B24" s="68" t="str">
        <f>IFERROR(__xludf.DUMMYFUNCTION("""COMPUTED_VALUE"""),"Match Day 13")</f>
        <v>Match Day 13</v>
      </c>
      <c r="C24" s="118" t="str">
        <f>IFERROR(__xludf.DUMMYFUNCTION("""COMPUTED_VALUE"""),"Glaciers")</f>
        <v>Glaciers</v>
      </c>
      <c r="D24" s="119" t="str">
        <f>IFERROR(__xludf.DUMMYFUNCTION("""COMPUTED_VALUE"""),"Spearmint")</f>
        <v>Spearmint</v>
      </c>
      <c r="E24" s="119" t="str">
        <f>IFERROR(__xludf.DUMMYFUNCTION("""COMPUTED_VALUE"""),"Toucans")</f>
        <v>Toucans</v>
      </c>
      <c r="F24" s="119" t="str">
        <f>IFERROR(__xludf.DUMMYFUNCTION("""COMPUTED_VALUE"""),"Manticore")</f>
        <v>Manticore</v>
      </c>
      <c r="G24" s="107"/>
      <c r="H24" s="119" t="str">
        <f>IFERROR(__xludf.DUMMYFUNCTION("""COMPUTED_VALUE"""),"Porch Pirates")</f>
        <v>Porch Pirates</v>
      </c>
      <c r="I24" s="119" t="str">
        <f>IFERROR(__xludf.DUMMYFUNCTION("""COMPUTED_VALUE"""),"Cooks")</f>
        <v>Cooks</v>
      </c>
      <c r="J24" s="119" t="str">
        <f>IFERROR(__xludf.DUMMYFUNCTION("""COMPUTED_VALUE"""),"Olympic Knights")</f>
        <v>Olympic Knights</v>
      </c>
      <c r="K24" s="119" t="str">
        <f>IFERROR(__xludf.DUMMYFUNCTION("""COMPUTED_VALUE"""),"Void")</f>
        <v>Void</v>
      </c>
      <c r="L24" s="107"/>
      <c r="M24" s="119" t="str">
        <f>IFERROR(__xludf.DUMMYFUNCTION("""COMPUTED_VALUE"""),"Metal")</f>
        <v>Metal</v>
      </c>
      <c r="N24" s="119" t="str">
        <f>IFERROR(__xludf.DUMMYFUNCTION("""COMPUTED_VALUE"""),"Chromatic Chaos")</f>
        <v>Chromatic Chaos</v>
      </c>
      <c r="O24" s="119" t="str">
        <f>IFERROR(__xludf.DUMMYFUNCTION("""COMPUTED_VALUE"""),"Threshers")</f>
        <v>Threshers</v>
      </c>
      <c r="P24" s="119" t="str">
        <f>IFERROR(__xludf.DUMMYFUNCTION("""COMPUTED_VALUE"""),"Ryujin")</f>
        <v>Ryujin</v>
      </c>
      <c r="Q24" s="120"/>
      <c r="R24" s="119" t="str">
        <f>IFERROR(__xludf.DUMMYFUNCTION("""COMPUTED_VALUE"""),"Sirens")</f>
        <v>Sirens</v>
      </c>
      <c r="S24" s="119" t="str">
        <f>IFERROR(__xludf.DUMMYFUNCTION("""COMPUTED_VALUE"""),"Thunder Pups")</f>
        <v>Thunder Pups</v>
      </c>
      <c r="T24" s="119" t="str">
        <f>IFERROR(__xludf.DUMMYFUNCTION("""COMPUTED_VALUE"""),"Decuriones")</f>
        <v>Decuriones</v>
      </c>
      <c r="U24" s="119" t="str">
        <f>IFERROR(__xludf.DUMMYFUNCTION("""COMPUTED_VALUE"""),"Panda Bears")</f>
        <v>Panda Bears</v>
      </c>
      <c r="V24" s="59">
        <f>IFERROR(__xludf.DUMMYFUNCTION("""COMPUTED_VALUE"""),45957.0)</f>
        <v>45957</v>
      </c>
      <c r="W24" s="73"/>
      <c r="X24" s="93"/>
      <c r="Y24" s="93"/>
      <c r="Z24" s="93"/>
    </row>
    <row r="25">
      <c r="A25" s="73"/>
      <c r="B25" s="55" t="str">
        <f>IFERROR(__xludf.DUMMYFUNCTION("""COMPUTED_VALUE"""),"Match Day 14")</f>
        <v>Match Day 14</v>
      </c>
      <c r="C25" s="118" t="str">
        <f>IFERROR(__xludf.DUMMYFUNCTION("""COMPUTED_VALUE"""),"Manticore")</f>
        <v>Manticore</v>
      </c>
      <c r="D25" s="119" t="str">
        <f>IFERROR(__xludf.DUMMYFUNCTION("""COMPUTED_VALUE"""),"Toucans")</f>
        <v>Toucans</v>
      </c>
      <c r="E25" s="119" t="str">
        <f>IFERROR(__xludf.DUMMYFUNCTION("""COMPUTED_VALUE"""),"Spearmint")</f>
        <v>Spearmint</v>
      </c>
      <c r="F25" s="119" t="str">
        <f>IFERROR(__xludf.DUMMYFUNCTION("""COMPUTED_VALUE"""),"Glaciers")</f>
        <v>Glaciers</v>
      </c>
      <c r="G25" s="123"/>
      <c r="H25" s="119" t="str">
        <f>IFERROR(__xludf.DUMMYFUNCTION("""COMPUTED_VALUE"""),"Void")</f>
        <v>Void</v>
      </c>
      <c r="I25" s="119" t="str">
        <f>IFERROR(__xludf.DUMMYFUNCTION("""COMPUTED_VALUE"""),"Olympic Knights")</f>
        <v>Olympic Knights</v>
      </c>
      <c r="J25" s="119" t="str">
        <f>IFERROR(__xludf.DUMMYFUNCTION("""COMPUTED_VALUE"""),"Cooks")</f>
        <v>Cooks</v>
      </c>
      <c r="K25" s="119" t="str">
        <f>IFERROR(__xludf.DUMMYFUNCTION("""COMPUTED_VALUE"""),"Porch Pirates")</f>
        <v>Porch Pirates</v>
      </c>
      <c r="L25" s="123"/>
      <c r="M25" s="119" t="str">
        <f>IFERROR(__xludf.DUMMYFUNCTION("""COMPUTED_VALUE"""),"Ryujin")</f>
        <v>Ryujin</v>
      </c>
      <c r="N25" s="119" t="str">
        <f>IFERROR(__xludf.DUMMYFUNCTION("""COMPUTED_VALUE"""),"Threshers")</f>
        <v>Threshers</v>
      </c>
      <c r="O25" s="119" t="str">
        <f>IFERROR(__xludf.DUMMYFUNCTION("""COMPUTED_VALUE"""),"Chromatic Chaos")</f>
        <v>Chromatic Chaos</v>
      </c>
      <c r="P25" s="119" t="str">
        <f>IFERROR(__xludf.DUMMYFUNCTION("""COMPUTED_VALUE"""),"Metal")</f>
        <v>Metal</v>
      </c>
      <c r="Q25" s="120"/>
      <c r="R25" s="119" t="str">
        <f>IFERROR(__xludf.DUMMYFUNCTION("""COMPUTED_VALUE"""),"Panda Bears")</f>
        <v>Panda Bears</v>
      </c>
      <c r="S25" s="119" t="str">
        <f>IFERROR(__xludf.DUMMYFUNCTION("""COMPUTED_VALUE"""),"Decuriones")</f>
        <v>Decuriones</v>
      </c>
      <c r="T25" s="119" t="str">
        <f>IFERROR(__xludf.DUMMYFUNCTION("""COMPUTED_VALUE"""),"Thunder Pups")</f>
        <v>Thunder Pups</v>
      </c>
      <c r="U25" s="119" t="str">
        <f>IFERROR(__xludf.DUMMYFUNCTION("""COMPUTED_VALUE"""),"Sirens")</f>
        <v>Sirens</v>
      </c>
      <c r="V25" s="59">
        <f>IFERROR(__xludf.DUMMYFUNCTION("""COMPUTED_VALUE"""),45959.0)</f>
        <v>45959</v>
      </c>
      <c r="W25" s="73"/>
      <c r="X25" s="93"/>
      <c r="Y25" s="93"/>
      <c r="Z25" s="93"/>
    </row>
    <row r="26">
      <c r="A26" s="73"/>
      <c r="B26" s="55" t="str">
        <f>IFERROR(__xludf.DUMMYFUNCTION("""COMPUTED_VALUE"""),"Match Day 15")</f>
        <v>Match Day 15</v>
      </c>
      <c r="C26" s="118" t="str">
        <f>IFERROR(__xludf.DUMMYFUNCTION("""COMPUTED_VALUE"""),"Spearmint")</f>
        <v>Spearmint</v>
      </c>
      <c r="D26" s="119" t="str">
        <f>IFERROR(__xludf.DUMMYFUNCTION("""COMPUTED_VALUE"""),"Glaciers")</f>
        <v>Glaciers</v>
      </c>
      <c r="E26" s="119" t="str">
        <f>IFERROR(__xludf.DUMMYFUNCTION("""COMPUTED_VALUE"""),"Manticore")</f>
        <v>Manticore</v>
      </c>
      <c r="F26" s="119" t="str">
        <f>IFERROR(__xludf.DUMMYFUNCTION("""COMPUTED_VALUE"""),"Toucans")</f>
        <v>Toucans</v>
      </c>
      <c r="G26" s="123"/>
      <c r="H26" s="119" t="str">
        <f>IFERROR(__xludf.DUMMYFUNCTION("""COMPUTED_VALUE"""),"Cooks")</f>
        <v>Cooks</v>
      </c>
      <c r="I26" s="119" t="str">
        <f>IFERROR(__xludf.DUMMYFUNCTION("""COMPUTED_VALUE"""),"Porch Pirates")</f>
        <v>Porch Pirates</v>
      </c>
      <c r="J26" s="119" t="str">
        <f>IFERROR(__xludf.DUMMYFUNCTION("""COMPUTED_VALUE"""),"Void")</f>
        <v>Void</v>
      </c>
      <c r="K26" s="119" t="str">
        <f>IFERROR(__xludf.DUMMYFUNCTION("""COMPUTED_VALUE"""),"Olympic Knights")</f>
        <v>Olympic Knights</v>
      </c>
      <c r="L26" s="123"/>
      <c r="M26" s="119" t="str">
        <f>IFERROR(__xludf.DUMMYFUNCTION("""COMPUTED_VALUE"""),"Chromatic Chaos")</f>
        <v>Chromatic Chaos</v>
      </c>
      <c r="N26" s="119" t="str">
        <f>IFERROR(__xludf.DUMMYFUNCTION("""COMPUTED_VALUE"""),"Metal")</f>
        <v>Metal</v>
      </c>
      <c r="O26" s="119" t="str">
        <f>IFERROR(__xludf.DUMMYFUNCTION("""COMPUTED_VALUE"""),"Ryujin")</f>
        <v>Ryujin</v>
      </c>
      <c r="P26" s="119" t="str">
        <f>IFERROR(__xludf.DUMMYFUNCTION("""COMPUTED_VALUE"""),"Threshers")</f>
        <v>Threshers</v>
      </c>
      <c r="Q26" s="120"/>
      <c r="R26" s="119" t="str">
        <f>IFERROR(__xludf.DUMMYFUNCTION("""COMPUTED_VALUE"""),"Thunder Pups")</f>
        <v>Thunder Pups</v>
      </c>
      <c r="S26" s="119" t="str">
        <f>IFERROR(__xludf.DUMMYFUNCTION("""COMPUTED_VALUE"""),"Sirens")</f>
        <v>Sirens</v>
      </c>
      <c r="T26" s="119" t="str">
        <f>IFERROR(__xludf.DUMMYFUNCTION("""COMPUTED_VALUE"""),"Panda Bears")</f>
        <v>Panda Bears</v>
      </c>
      <c r="U26" s="119" t="str">
        <f>IFERROR(__xludf.DUMMYFUNCTION("""COMPUTED_VALUE"""),"Decuriones")</f>
        <v>Decuriones</v>
      </c>
      <c r="V26" s="59">
        <f>IFERROR(__xludf.DUMMYFUNCTION("""COMPUTED_VALUE"""),45964.0)</f>
        <v>45964</v>
      </c>
      <c r="W26" s="73"/>
      <c r="X26" s="93"/>
      <c r="Y26" s="93"/>
      <c r="Z26" s="93"/>
    </row>
    <row r="27">
      <c r="A27" s="73"/>
      <c r="B27" s="55" t="str">
        <f>IFERROR(__xludf.DUMMYFUNCTION("""COMPUTED_VALUE"""),"Match Day 16")</f>
        <v>Match Day 16</v>
      </c>
      <c r="C27" s="124" t="str">
        <f>IFERROR(__xludf.DUMMYFUNCTION("""COMPUTED_VALUE"""),"Wild-Card (9:45 PM ET) / Quarterfinals (10:30 PM ET)")</f>
        <v>Wild-Card (9:45 PM ET) / Quarterfinals (10:30 PM ET)</v>
      </c>
      <c r="D27" s="27"/>
      <c r="E27" s="27"/>
      <c r="F27" s="27"/>
      <c r="G27" s="27"/>
      <c r="H27" s="27"/>
      <c r="I27" s="27"/>
      <c r="J27" s="27"/>
      <c r="K27" s="90"/>
      <c r="L27" s="43"/>
      <c r="M27" s="124" t="str">
        <f>IFERROR(__xludf.DUMMYFUNCTION("""COMPUTED_VALUE"""),"Wild-Card (9:45 PM ET) / Quarterfinals (10:30 PM ET)")</f>
        <v>Wild-Card (9:45 PM ET) / Quarterfinals (10:30 PM ET)</v>
      </c>
      <c r="N27" s="27"/>
      <c r="O27" s="27"/>
      <c r="P27" s="27"/>
      <c r="Q27" s="27"/>
      <c r="R27" s="27"/>
      <c r="S27" s="27"/>
      <c r="T27" s="27"/>
      <c r="U27" s="90"/>
      <c r="V27" s="59">
        <f>IFERROR(__xludf.DUMMYFUNCTION("""COMPUTED_VALUE"""),45966.0)</f>
        <v>45966</v>
      </c>
      <c r="W27" s="73"/>
      <c r="X27" s="93"/>
      <c r="Y27" s="93"/>
      <c r="Z27" s="93"/>
    </row>
    <row r="28">
      <c r="A28" s="73"/>
      <c r="B28" s="55" t="str">
        <f>IFERROR(__xludf.DUMMYFUNCTION("""COMPUTED_VALUE"""),"Match Day 17")</f>
        <v>Match Day 17</v>
      </c>
      <c r="C28" s="124" t="str">
        <f>IFERROR(__xludf.DUMMYFUNCTION("""COMPUTED_VALUE"""),"Semifinals (10:00 PM ET)")</f>
        <v>Semifinals (10:00 PM ET)</v>
      </c>
      <c r="D28" s="27"/>
      <c r="E28" s="27"/>
      <c r="F28" s="27"/>
      <c r="G28" s="27"/>
      <c r="H28" s="27"/>
      <c r="I28" s="27"/>
      <c r="J28" s="27"/>
      <c r="K28" s="90"/>
      <c r="L28" s="73"/>
      <c r="M28" s="124" t="str">
        <f>IFERROR(__xludf.DUMMYFUNCTION("""COMPUTED_VALUE"""),"Semifinals (10:00 PM ET)")</f>
        <v>Semifinals (10:00 PM ET)</v>
      </c>
      <c r="N28" s="27"/>
      <c r="O28" s="27"/>
      <c r="P28" s="27"/>
      <c r="Q28" s="27"/>
      <c r="R28" s="27"/>
      <c r="S28" s="27"/>
      <c r="T28" s="27"/>
      <c r="U28" s="90"/>
      <c r="V28" s="59">
        <f>IFERROR(__xludf.DUMMYFUNCTION("""COMPUTED_VALUE"""),45971.0)</f>
        <v>45971</v>
      </c>
      <c r="W28" s="73"/>
      <c r="X28" s="93"/>
      <c r="Y28" s="93"/>
      <c r="Z28" s="93"/>
    </row>
    <row r="29">
      <c r="A29" s="73"/>
      <c r="B29" s="55" t="str">
        <f>IFERROR(__xludf.DUMMYFUNCTION("""COMPUTED_VALUE"""),"Match Day 18")</f>
        <v>Match Day 18</v>
      </c>
      <c r="C29" s="124" t="str">
        <f>IFERROR(__xludf.DUMMYFUNCTION("""COMPUTED_VALUE"""),"Finals (9:30 PM ET)")</f>
        <v>Finals (9:30 PM ET)</v>
      </c>
      <c r="D29" s="27"/>
      <c r="E29" s="27"/>
      <c r="F29" s="27"/>
      <c r="G29" s="27"/>
      <c r="H29" s="27"/>
      <c r="I29" s="27"/>
      <c r="J29" s="27"/>
      <c r="K29" s="90"/>
      <c r="L29" s="73"/>
      <c r="M29" s="124" t="str">
        <f>IFERROR(__xludf.DUMMYFUNCTION("""COMPUTED_VALUE"""),"Finals (9:30 PM ET)")</f>
        <v>Finals (9:30 PM ET)</v>
      </c>
      <c r="N29" s="27"/>
      <c r="O29" s="27"/>
      <c r="P29" s="27"/>
      <c r="Q29" s="27"/>
      <c r="R29" s="27"/>
      <c r="S29" s="27"/>
      <c r="T29" s="27"/>
      <c r="U29" s="90"/>
      <c r="V29" s="59">
        <f>IFERROR(__xludf.DUMMYFUNCTION("""COMPUTED_VALUE"""),45973.0)</f>
        <v>45973</v>
      </c>
      <c r="W29" s="73"/>
      <c r="X29" s="93"/>
      <c r="Y29" s="93"/>
      <c r="Z29" s="93"/>
    </row>
    <row r="30">
      <c r="A30" s="73"/>
      <c r="B30" s="73"/>
      <c r="C30" s="73"/>
      <c r="D30" s="73"/>
      <c r="E30" s="73"/>
      <c r="F30" s="73"/>
      <c r="G30" s="73"/>
      <c r="H30" s="73"/>
      <c r="I30" s="4"/>
      <c r="J30" s="4"/>
      <c r="K30" s="4"/>
      <c r="L30" s="4"/>
      <c r="M30" s="4"/>
      <c r="N30" s="4"/>
      <c r="O30" s="4"/>
      <c r="P30" s="73"/>
      <c r="Q30" s="73"/>
      <c r="R30" s="73"/>
      <c r="S30" s="73"/>
      <c r="T30" s="73"/>
      <c r="U30" s="73"/>
      <c r="V30" s="101"/>
      <c r="W30" s="73"/>
      <c r="X30" s="93"/>
      <c r="Y30" s="93"/>
      <c r="Z30" s="93"/>
    </row>
    <row r="31">
      <c r="A31" s="73"/>
      <c r="B31" s="48" t="str">
        <f>IFERROR(__xludf.DUMMYFUNCTION("""COMPUTED_VALUE"""),"Preseason")</f>
        <v>Preseason</v>
      </c>
      <c r="C31" s="73"/>
      <c r="D31" s="73"/>
      <c r="E31" s="73"/>
      <c r="F31" s="73"/>
      <c r="G31" s="73"/>
      <c r="H31" s="73"/>
      <c r="I31" s="149"/>
      <c r="J31" s="149"/>
      <c r="K31" s="149"/>
      <c r="L31" s="149"/>
      <c r="M31" s="149"/>
      <c r="N31" s="149"/>
      <c r="O31" s="149"/>
      <c r="P31" s="73"/>
      <c r="Q31" s="73"/>
      <c r="R31" s="73"/>
      <c r="S31" s="73"/>
      <c r="T31" s="73"/>
      <c r="U31" s="73"/>
      <c r="V31" s="48" t="str">
        <f>IFERROR(__xludf.DUMMYFUNCTION("""COMPUTED_VALUE"""),"Preseason")</f>
        <v>Preseason</v>
      </c>
      <c r="W31" s="73"/>
      <c r="X31" s="93"/>
      <c r="Y31" s="93"/>
      <c r="Z31" s="93"/>
    </row>
    <row r="32">
      <c r="A32" s="73"/>
      <c r="B32" s="96" t="str">
        <f>IFERROR(__xludf.DUMMYFUNCTION("""COMPUTED_VALUE"""),"In Division")</f>
        <v>In Division</v>
      </c>
      <c r="C32" s="73"/>
      <c r="D32" s="73"/>
      <c r="E32" s="73"/>
      <c r="F32" s="73"/>
      <c r="G32" s="73"/>
      <c r="H32" s="73"/>
      <c r="I32" s="125" t="str">
        <f>IFERROR(__xludf.DUMMYFUNCTION("""COMPUTED_VALUE"""),"Lunar Conference")</f>
        <v>Lunar Conference</v>
      </c>
      <c r="P32" s="73"/>
      <c r="Q32" s="73"/>
      <c r="R32" s="73"/>
      <c r="S32" s="73"/>
      <c r="T32" s="73"/>
      <c r="U32" s="73"/>
      <c r="V32" s="96" t="str">
        <f>IFERROR(__xludf.DUMMYFUNCTION("""COMPUTED_VALUE"""),"In Division")</f>
        <v>In Division</v>
      </c>
      <c r="W32" s="73"/>
      <c r="X32" s="93"/>
      <c r="Y32" s="93"/>
      <c r="Z32" s="93"/>
    </row>
    <row r="33" ht="15.75" customHeight="1">
      <c r="A33" s="73"/>
      <c r="B33" s="78" t="str">
        <f>IFERROR(__xludf.DUMMYFUNCTION("""COMPUTED_VALUE"""),"In Conference")</f>
        <v>In Conference</v>
      </c>
      <c r="C33" s="4"/>
      <c r="D33" s="4"/>
      <c r="E33" s="4"/>
      <c r="F33" s="4"/>
      <c r="G33" s="4"/>
      <c r="H33" s="4"/>
      <c r="P33" s="4"/>
      <c r="Q33" s="4"/>
      <c r="R33" s="4"/>
      <c r="S33" s="4"/>
      <c r="T33" s="4"/>
      <c r="U33" s="4"/>
      <c r="V33" s="78" t="str">
        <f>IFERROR(__xludf.DUMMYFUNCTION("""COMPUTED_VALUE"""),"In Conference")</f>
        <v>In Conference</v>
      </c>
      <c r="W33" s="73"/>
      <c r="X33" s="93"/>
      <c r="Y33" s="93"/>
      <c r="Z33" s="93"/>
    </row>
    <row r="34" ht="15.75" customHeight="1">
      <c r="A34" s="73"/>
      <c r="B34" s="97" t="str">
        <f>IFERROR(__xludf.DUMMYFUNCTION("""COMPUTED_VALUE"""),"Out of Conference")</f>
        <v>Out of Conference</v>
      </c>
      <c r="C34" s="98" t="str">
        <f>IFERROR(__xludf.DUMMYFUNCTION("""COMPUTED_VALUE"""),"Cloud Division")</f>
        <v>Cloud Division</v>
      </c>
      <c r="G34" s="43"/>
      <c r="H34" s="99" t="str">
        <f>IFERROR(__xludf.DUMMYFUNCTION("""COMPUTED_VALUE"""),"Ember Division")</f>
        <v>Ember Division</v>
      </c>
      <c r="L34" s="73"/>
      <c r="M34" s="100" t="str">
        <f>IFERROR(__xludf.DUMMYFUNCTION("""COMPUTED_VALUE"""),"Mountain Division")</f>
        <v>Mountain Division</v>
      </c>
      <c r="Q34" s="101"/>
      <c r="R34" s="102" t="str">
        <f>IFERROR(__xludf.DUMMYFUNCTION("""COMPUTED_VALUE"""),"Ocean Division")</f>
        <v>Ocean Division</v>
      </c>
      <c r="V34" s="97" t="str">
        <f>IFERROR(__xludf.DUMMYFUNCTION("""COMPUTED_VALUE"""),"Out of Conference")</f>
        <v>Out of Conference</v>
      </c>
      <c r="W34" s="73"/>
      <c r="X34" s="93"/>
      <c r="Y34" s="93"/>
      <c r="Z34" s="93"/>
    </row>
    <row r="35">
      <c r="A35" s="73"/>
      <c r="B35" s="80" t="str">
        <f>IFERROR(__xludf.DUMMYFUNCTION("""COMPUTED_VALUE"""),"Playoffs")</f>
        <v>Playoffs</v>
      </c>
      <c r="C35" s="103" t="str">
        <f>IFERROR(__xludf.DUMMYFUNCTION("""COMPUTED_VALUE"""),"Insider Traders")</f>
        <v>Insider Traders</v>
      </c>
      <c r="D35" s="103" t="str">
        <f>IFERROR(__xludf.DUMMYFUNCTION("""COMPUTED_VALUE"""),"Havarti Hustlers")</f>
        <v>Havarti Hustlers</v>
      </c>
      <c r="E35" s="103" t="str">
        <f>IFERROR(__xludf.DUMMYFUNCTION("""COMPUTED_VALUE"""),"Apple Associates")</f>
        <v>Apple Associates</v>
      </c>
      <c r="F35" s="103" t="str">
        <f>IFERROR(__xludf.DUMMYFUNCTION("""COMPUTED_VALUE"""),"Warthogs")</f>
        <v>Warthogs</v>
      </c>
      <c r="G35" s="73"/>
      <c r="H35" s="103" t="str">
        <f>IFERROR(__xludf.DUMMYFUNCTION("""COMPUTED_VALUE"""),"Gold Hoarders")</f>
        <v>Gold Hoarders</v>
      </c>
      <c r="I35" s="103" t="str">
        <f>IFERROR(__xludf.DUMMYFUNCTION("""COMPUTED_VALUE"""),"Glams")</f>
        <v>Glams</v>
      </c>
      <c r="J35" s="103" t="str">
        <f>IFERROR(__xludf.DUMMYFUNCTION("""COMPUTED_VALUE"""),"Blitzars")</f>
        <v>Blitzars</v>
      </c>
      <c r="K35" s="103" t="str">
        <f>IFERROR(__xludf.DUMMYFUNCTION("""COMPUTED_VALUE"""),"Jinyiwei")</f>
        <v>Jinyiwei</v>
      </c>
      <c r="L35" s="104"/>
      <c r="M35" s="103" t="str">
        <f>IFERROR(__xludf.DUMMYFUNCTION("""COMPUTED_VALUE"""),"Meat Lovers")</f>
        <v>Meat Lovers</v>
      </c>
      <c r="N35" s="103" t="str">
        <f>IFERROR(__xludf.DUMMYFUNCTION("""COMPUTED_VALUE"""),"Zombies")</f>
        <v>Zombies</v>
      </c>
      <c r="O35" s="103" t="str">
        <f>IFERROR(__xludf.DUMMYFUNCTION("""COMPUTED_VALUE"""),"Warbirds")</f>
        <v>Warbirds</v>
      </c>
      <c r="P35" s="103" t="str">
        <f>IFERROR(__xludf.DUMMYFUNCTION("""COMPUTED_VALUE"""),"Shade")</f>
        <v>Shade</v>
      </c>
      <c r="Q35" s="105"/>
      <c r="R35" s="103" t="str">
        <f>IFERROR(__xludf.DUMMYFUNCTION("""COMPUTED_VALUE"""),"Stingrays")</f>
        <v>Stingrays</v>
      </c>
      <c r="S35" s="103" t="str">
        <f>IFERROR(__xludf.DUMMYFUNCTION("""COMPUTED_VALUE"""),"Happy B-day Jess")</f>
        <v>Happy B-day Jess</v>
      </c>
      <c r="T35" s="103" t="str">
        <f>IFERROR(__xludf.DUMMYFUNCTION("""COMPUTED_VALUE"""),"Corals")</f>
        <v>Corals</v>
      </c>
      <c r="U35" s="81" t="str">
        <f>IFERROR(__xludf.DUMMYFUNCTION("""COMPUTED_VALUE"""),"Scribes")</f>
        <v>Scribes</v>
      </c>
      <c r="V35" s="80" t="str">
        <f>IFERROR(__xludf.DUMMYFUNCTION("""COMPUTED_VALUE"""),"Playoffs")</f>
        <v>Playoffs</v>
      </c>
      <c r="W35" s="73"/>
      <c r="X35" s="93"/>
      <c r="Y35" s="93"/>
      <c r="Z35" s="93"/>
    </row>
    <row r="36">
      <c r="A36" s="73"/>
      <c r="B36" s="55" t="str">
        <f>IFERROR(__xludf.DUMMYFUNCTION("""COMPUTED_VALUE"""),"Preseason 1")</f>
        <v>Preseason 1</v>
      </c>
      <c r="C36" s="82" t="str">
        <f>IFERROR(__xludf.DUMMYFUNCTION("""COMPUTED_VALUE"""),"Havarti Hustlers")</f>
        <v>Havarti Hustlers</v>
      </c>
      <c r="D36" s="83" t="str">
        <f>IFERROR(__xludf.DUMMYFUNCTION("""COMPUTED_VALUE"""),"Insider Traders")</f>
        <v>Insider Traders</v>
      </c>
      <c r="E36" s="83" t="str">
        <f>IFERROR(__xludf.DUMMYFUNCTION("""COMPUTED_VALUE"""),"Warthogs")</f>
        <v>Warthogs</v>
      </c>
      <c r="F36" s="83" t="str">
        <f>IFERROR(__xludf.DUMMYFUNCTION("""COMPUTED_VALUE"""),"Apple Associates")</f>
        <v>Apple Associates</v>
      </c>
      <c r="G36" s="107"/>
      <c r="H36" s="83" t="str">
        <f>IFERROR(__xludf.DUMMYFUNCTION("""COMPUTED_VALUE"""),"Glams")</f>
        <v>Glams</v>
      </c>
      <c r="I36" s="83" t="str">
        <f>IFERROR(__xludf.DUMMYFUNCTION("""COMPUTED_VALUE"""),"Gold Hoarders")</f>
        <v>Gold Hoarders</v>
      </c>
      <c r="J36" s="83" t="str">
        <f>IFERROR(__xludf.DUMMYFUNCTION("""COMPUTED_VALUE"""),"Jinyiwei")</f>
        <v>Jinyiwei</v>
      </c>
      <c r="K36" s="83" t="str">
        <f>IFERROR(__xludf.DUMMYFUNCTION("""COMPUTED_VALUE"""),"Blitzars")</f>
        <v>Blitzars</v>
      </c>
      <c r="L36" s="107"/>
      <c r="M36" s="83" t="str">
        <f>IFERROR(__xludf.DUMMYFUNCTION("""COMPUTED_VALUE"""),"Zombies")</f>
        <v>Zombies</v>
      </c>
      <c r="N36" s="83" t="str">
        <f>IFERROR(__xludf.DUMMYFUNCTION("""COMPUTED_VALUE"""),"Meat Lovers")</f>
        <v>Meat Lovers</v>
      </c>
      <c r="O36" s="83" t="str">
        <f>IFERROR(__xludf.DUMMYFUNCTION("""COMPUTED_VALUE"""),"Shade")</f>
        <v>Shade</v>
      </c>
      <c r="P36" s="83" t="str">
        <f>IFERROR(__xludf.DUMMYFUNCTION("""COMPUTED_VALUE"""),"Warbirds")</f>
        <v>Warbirds</v>
      </c>
      <c r="Q36" s="108"/>
      <c r="R36" s="83" t="str">
        <f>IFERROR(__xludf.DUMMYFUNCTION("""COMPUTED_VALUE"""),"Happy B-day Jess")</f>
        <v>Happy B-day Jess</v>
      </c>
      <c r="S36" s="83" t="str">
        <f>IFERROR(__xludf.DUMMYFUNCTION("""COMPUTED_VALUE"""),"Stingrays")</f>
        <v>Stingrays</v>
      </c>
      <c r="T36" s="83" t="str">
        <f>IFERROR(__xludf.DUMMYFUNCTION("""COMPUTED_VALUE"""),"Scribes")</f>
        <v>Scribes</v>
      </c>
      <c r="U36" s="83" t="str">
        <f>IFERROR(__xludf.DUMMYFUNCTION("""COMPUTED_VALUE"""),"Corals")</f>
        <v>Corals</v>
      </c>
      <c r="V36" s="109">
        <f>IFERROR(__xludf.DUMMYFUNCTION("""COMPUTED_VALUE"""),45896.0)</f>
        <v>45896</v>
      </c>
      <c r="W36" s="73"/>
      <c r="X36" s="93"/>
      <c r="Y36" s="93"/>
      <c r="Z36" s="93"/>
    </row>
    <row r="37">
      <c r="A37" s="73"/>
      <c r="B37" s="55" t="str">
        <f>IFERROR(__xludf.DUMMYFUNCTION("""COMPUTED_VALUE"""),"Preseason 2")</f>
        <v>Preseason 2</v>
      </c>
      <c r="C37" s="82" t="str">
        <f>IFERROR(__xludf.DUMMYFUNCTION("""COMPUTED_VALUE"""),"Corals")</f>
        <v>Corals</v>
      </c>
      <c r="D37" s="83" t="str">
        <f>IFERROR(__xludf.DUMMYFUNCTION("""COMPUTED_VALUE"""),"Scribes")</f>
        <v>Scribes</v>
      </c>
      <c r="E37" s="83" t="str">
        <f>IFERROR(__xludf.DUMMYFUNCTION("""COMPUTED_VALUE"""),"Stingrays")</f>
        <v>Stingrays</v>
      </c>
      <c r="F37" s="83" t="str">
        <f>IFERROR(__xludf.DUMMYFUNCTION("""COMPUTED_VALUE"""),"Happy B-day Jess")</f>
        <v>Happy B-day Jess</v>
      </c>
      <c r="G37" s="73"/>
      <c r="H37" s="82" t="str">
        <f>IFERROR(__xludf.DUMMYFUNCTION("""COMPUTED_VALUE"""),"Warbirds")</f>
        <v>Warbirds</v>
      </c>
      <c r="I37" s="83" t="str">
        <f>IFERROR(__xludf.DUMMYFUNCTION("""COMPUTED_VALUE"""),"Shade")</f>
        <v>Shade</v>
      </c>
      <c r="J37" s="83" t="str">
        <f>IFERROR(__xludf.DUMMYFUNCTION("""COMPUTED_VALUE"""),"Meat Lovers")</f>
        <v>Meat Lovers</v>
      </c>
      <c r="K37" s="83" t="str">
        <f>IFERROR(__xludf.DUMMYFUNCTION("""COMPUTED_VALUE"""),"Zombies")</f>
        <v>Zombies</v>
      </c>
      <c r="L37" s="73"/>
      <c r="M37" s="82" t="str">
        <f>IFERROR(__xludf.DUMMYFUNCTION("""COMPUTED_VALUE"""),"Blitzars")</f>
        <v>Blitzars</v>
      </c>
      <c r="N37" s="83" t="str">
        <f>IFERROR(__xludf.DUMMYFUNCTION("""COMPUTED_VALUE"""),"Jinyiwei")</f>
        <v>Jinyiwei</v>
      </c>
      <c r="O37" s="83" t="str">
        <f>IFERROR(__xludf.DUMMYFUNCTION("""COMPUTED_VALUE"""),"Gold Hoarders")</f>
        <v>Gold Hoarders</v>
      </c>
      <c r="P37" s="83" t="str">
        <f>IFERROR(__xludf.DUMMYFUNCTION("""COMPUTED_VALUE"""),"Glams")</f>
        <v>Glams</v>
      </c>
      <c r="Q37" s="101"/>
      <c r="R37" s="82" t="str">
        <f>IFERROR(__xludf.DUMMYFUNCTION("""COMPUTED_VALUE"""),"Apple Associates")</f>
        <v>Apple Associates</v>
      </c>
      <c r="S37" s="83" t="str">
        <f>IFERROR(__xludf.DUMMYFUNCTION("""COMPUTED_VALUE"""),"Warthogs")</f>
        <v>Warthogs</v>
      </c>
      <c r="T37" s="83" t="str">
        <f>IFERROR(__xludf.DUMMYFUNCTION("""COMPUTED_VALUE"""),"Insider Traders")</f>
        <v>Insider Traders</v>
      </c>
      <c r="U37" s="83" t="str">
        <f>IFERROR(__xludf.DUMMYFUNCTION("""COMPUTED_VALUE"""),"Havarti Hustlers")</f>
        <v>Havarti Hustlers</v>
      </c>
      <c r="V37" s="109">
        <f>IFERROR(__xludf.DUMMYFUNCTION("""COMPUTED_VALUE"""),45903.0)</f>
        <v>45903</v>
      </c>
      <c r="W37" s="73"/>
      <c r="X37" s="93"/>
      <c r="Y37" s="93"/>
      <c r="Z37" s="93"/>
    </row>
    <row r="38">
      <c r="A38" s="73"/>
      <c r="B38" s="55" t="str">
        <f>IFERROR(__xludf.DUMMYFUNCTION("""COMPUTED_VALUE"""),"Preseason 3")</f>
        <v>Preseason 3</v>
      </c>
      <c r="C38" s="82" t="str">
        <f>IFERROR(__xludf.DUMMYFUNCTION("""COMPUTED_VALUE"""),"Void")</f>
        <v>Void</v>
      </c>
      <c r="D38" s="83" t="str">
        <f>IFERROR(__xludf.DUMMYFUNCTION("""COMPUTED_VALUE"""),"Olympic Knights")</f>
        <v>Olympic Knights</v>
      </c>
      <c r="E38" s="83" t="str">
        <f>IFERROR(__xludf.DUMMYFUNCTION("""COMPUTED_VALUE"""),"Porch Pirates")</f>
        <v>Porch Pirates</v>
      </c>
      <c r="F38" s="83" t="str">
        <f>IFERROR(__xludf.DUMMYFUNCTION("""COMPUTED_VALUE"""),"Cooks")</f>
        <v>Cooks</v>
      </c>
      <c r="G38" s="73"/>
      <c r="H38" s="82" t="str">
        <f>IFERROR(__xludf.DUMMYFUNCTION("""COMPUTED_VALUE"""),"Manticore")</f>
        <v>Manticore</v>
      </c>
      <c r="I38" s="83" t="str">
        <f>IFERROR(__xludf.DUMMYFUNCTION("""COMPUTED_VALUE"""),"Toucans")</f>
        <v>Toucans</v>
      </c>
      <c r="J38" s="83" t="str">
        <f>IFERROR(__xludf.DUMMYFUNCTION("""COMPUTED_VALUE"""),"Glaciers")</f>
        <v>Glaciers</v>
      </c>
      <c r="K38" s="83" t="str">
        <f>IFERROR(__xludf.DUMMYFUNCTION("""COMPUTED_VALUE"""),"Spearmint")</f>
        <v>Spearmint</v>
      </c>
      <c r="L38" s="73"/>
      <c r="M38" s="82" t="str">
        <f>IFERROR(__xludf.DUMMYFUNCTION("""COMPUTED_VALUE"""),"Panda Bears")</f>
        <v>Panda Bears</v>
      </c>
      <c r="N38" s="83" t="str">
        <f>IFERROR(__xludf.DUMMYFUNCTION("""COMPUTED_VALUE"""),"Decuriones")</f>
        <v>Decuriones</v>
      </c>
      <c r="O38" s="83" t="str">
        <f>IFERROR(__xludf.DUMMYFUNCTION("""COMPUTED_VALUE"""),"Sirens")</f>
        <v>Sirens</v>
      </c>
      <c r="P38" s="83" t="str">
        <f>IFERROR(__xludf.DUMMYFUNCTION("""COMPUTED_VALUE"""),"Thunder Pups")</f>
        <v>Thunder Pups</v>
      </c>
      <c r="Q38" s="101"/>
      <c r="R38" s="82" t="str">
        <f>IFERROR(__xludf.DUMMYFUNCTION("""COMPUTED_VALUE"""),"Ryujin")</f>
        <v>Ryujin</v>
      </c>
      <c r="S38" s="83" t="str">
        <f>IFERROR(__xludf.DUMMYFUNCTION("""COMPUTED_VALUE"""),"Threshers")</f>
        <v>Threshers</v>
      </c>
      <c r="T38" s="83" t="str">
        <f>IFERROR(__xludf.DUMMYFUNCTION("""COMPUTED_VALUE"""),"Metal")</f>
        <v>Metal</v>
      </c>
      <c r="U38" s="83" t="str">
        <f>IFERROR(__xludf.DUMMYFUNCTION("""COMPUTED_VALUE"""),"Chromatic Chaos")</f>
        <v>Chromatic Chaos</v>
      </c>
      <c r="V38" s="109">
        <f>IFERROR(__xludf.DUMMYFUNCTION("""COMPUTED_VALUE"""),45908.0)</f>
        <v>45908</v>
      </c>
      <c r="W38" s="73"/>
      <c r="X38" s="93"/>
      <c r="Y38" s="93"/>
      <c r="Z38" s="93"/>
    </row>
    <row r="39">
      <c r="A39" s="73"/>
      <c r="B39" s="55" t="str">
        <f>IFERROR(__xludf.DUMMYFUNCTION("""COMPUTED_VALUE"""),"Match Day 1")</f>
        <v>Match Day 1</v>
      </c>
      <c r="C39" s="85" t="str">
        <f>IFERROR(__xludf.DUMMYFUNCTION("""COMPUTED_VALUE"""),"Glams")</f>
        <v>Glams</v>
      </c>
      <c r="D39" s="86" t="str">
        <f>IFERROR(__xludf.DUMMYFUNCTION("""COMPUTED_VALUE"""),"Gold Hoarders")</f>
        <v>Gold Hoarders</v>
      </c>
      <c r="E39" s="86" t="str">
        <f>IFERROR(__xludf.DUMMYFUNCTION("""COMPUTED_VALUE"""),"Jinyiwei")</f>
        <v>Jinyiwei</v>
      </c>
      <c r="F39" s="86" t="str">
        <f>IFERROR(__xludf.DUMMYFUNCTION("""COMPUTED_VALUE"""),"Blitzars")</f>
        <v>Blitzars</v>
      </c>
      <c r="G39" s="114"/>
      <c r="H39" s="86" t="str">
        <f>IFERROR(__xludf.DUMMYFUNCTION("""COMPUTED_VALUE"""),"Havarti Hustlers")</f>
        <v>Havarti Hustlers</v>
      </c>
      <c r="I39" s="86" t="str">
        <f>IFERROR(__xludf.DUMMYFUNCTION("""COMPUTED_VALUE"""),"Insider Traders")</f>
        <v>Insider Traders</v>
      </c>
      <c r="J39" s="86" t="str">
        <f>IFERROR(__xludf.DUMMYFUNCTION("""COMPUTED_VALUE"""),"Warthogs")</f>
        <v>Warthogs</v>
      </c>
      <c r="K39" s="86" t="str">
        <f>IFERROR(__xludf.DUMMYFUNCTION("""COMPUTED_VALUE"""),"Apple Associates")</f>
        <v>Apple Associates</v>
      </c>
      <c r="L39" s="114"/>
      <c r="M39" s="86" t="str">
        <f>IFERROR(__xludf.DUMMYFUNCTION("""COMPUTED_VALUE"""),"Happy B-day Jess")</f>
        <v>Happy B-day Jess</v>
      </c>
      <c r="N39" s="86" t="str">
        <f>IFERROR(__xludf.DUMMYFUNCTION("""COMPUTED_VALUE"""),"Stingrays")</f>
        <v>Stingrays</v>
      </c>
      <c r="O39" s="86" t="str">
        <f>IFERROR(__xludf.DUMMYFUNCTION("""COMPUTED_VALUE"""),"Scribes")</f>
        <v>Scribes</v>
      </c>
      <c r="P39" s="86" t="str">
        <f>IFERROR(__xludf.DUMMYFUNCTION("""COMPUTED_VALUE"""),"Corals")</f>
        <v>Corals</v>
      </c>
      <c r="Q39" s="115"/>
      <c r="R39" s="86" t="str">
        <f>IFERROR(__xludf.DUMMYFUNCTION("""COMPUTED_VALUE"""),"Zombies")</f>
        <v>Zombies</v>
      </c>
      <c r="S39" s="86" t="str">
        <f>IFERROR(__xludf.DUMMYFUNCTION("""COMPUTED_VALUE"""),"Meat Lovers")</f>
        <v>Meat Lovers</v>
      </c>
      <c r="T39" s="86" t="str">
        <f>IFERROR(__xludf.DUMMYFUNCTION("""COMPUTED_VALUE"""),"Shade")</f>
        <v>Shade</v>
      </c>
      <c r="U39" s="86" t="str">
        <f>IFERROR(__xludf.DUMMYFUNCTION("""COMPUTED_VALUE"""),"Warbirds")</f>
        <v>Warbirds</v>
      </c>
      <c r="V39" s="109">
        <f>IFERROR(__xludf.DUMMYFUNCTION("""COMPUTED_VALUE"""),45910.0)</f>
        <v>45910</v>
      </c>
      <c r="W39" s="73"/>
      <c r="X39" s="93"/>
      <c r="Y39" s="93"/>
      <c r="Z39" s="93"/>
    </row>
    <row r="40">
      <c r="A40" s="73"/>
      <c r="B40" s="55" t="str">
        <f>IFERROR(__xludf.DUMMYFUNCTION("""COMPUTED_VALUE"""),"Match Day 2")</f>
        <v>Match Day 2</v>
      </c>
      <c r="C40" s="87" t="str">
        <f>IFERROR(__xludf.DUMMYFUNCTION("""COMPUTED_VALUE"""),"Stingrays")</f>
        <v>Stingrays</v>
      </c>
      <c r="D40" s="88" t="str">
        <f>IFERROR(__xludf.DUMMYFUNCTION("""COMPUTED_VALUE"""),"Happy B-day Jess")</f>
        <v>Happy B-day Jess</v>
      </c>
      <c r="E40" s="88" t="str">
        <f>IFERROR(__xludf.DUMMYFUNCTION("""COMPUTED_VALUE"""),"Corals")</f>
        <v>Corals</v>
      </c>
      <c r="F40" s="88" t="str">
        <f>IFERROR(__xludf.DUMMYFUNCTION("""COMPUTED_VALUE"""),"Scribes")</f>
        <v>Scribes</v>
      </c>
      <c r="G40" s="107"/>
      <c r="H40" s="88" t="str">
        <f>IFERROR(__xludf.DUMMYFUNCTION("""COMPUTED_VALUE"""),"Meat Lovers")</f>
        <v>Meat Lovers</v>
      </c>
      <c r="I40" s="88" t="str">
        <f>IFERROR(__xludf.DUMMYFUNCTION("""COMPUTED_VALUE"""),"Zombies")</f>
        <v>Zombies</v>
      </c>
      <c r="J40" s="88" t="str">
        <f>IFERROR(__xludf.DUMMYFUNCTION("""COMPUTED_VALUE"""),"Warbirds")</f>
        <v>Warbirds</v>
      </c>
      <c r="K40" s="88" t="str">
        <f>IFERROR(__xludf.DUMMYFUNCTION("""COMPUTED_VALUE"""),"Shade")</f>
        <v>Shade</v>
      </c>
      <c r="L40" s="107"/>
      <c r="M40" s="88" t="str">
        <f>IFERROR(__xludf.DUMMYFUNCTION("""COMPUTED_VALUE"""),"Gold Hoarders")</f>
        <v>Gold Hoarders</v>
      </c>
      <c r="N40" s="88" t="str">
        <f>IFERROR(__xludf.DUMMYFUNCTION("""COMPUTED_VALUE"""),"Glams")</f>
        <v>Glams</v>
      </c>
      <c r="O40" s="88" t="str">
        <f>IFERROR(__xludf.DUMMYFUNCTION("""COMPUTED_VALUE"""),"Blitzars")</f>
        <v>Blitzars</v>
      </c>
      <c r="P40" s="88" t="str">
        <f>IFERROR(__xludf.DUMMYFUNCTION("""COMPUTED_VALUE"""),"Jinyiwei")</f>
        <v>Jinyiwei</v>
      </c>
      <c r="Q40" s="108"/>
      <c r="R40" s="88" t="str">
        <f>IFERROR(__xludf.DUMMYFUNCTION("""COMPUTED_VALUE"""),"Insider Traders")</f>
        <v>Insider Traders</v>
      </c>
      <c r="S40" s="88" t="str">
        <f>IFERROR(__xludf.DUMMYFUNCTION("""COMPUTED_VALUE"""),"Havarti Hustlers")</f>
        <v>Havarti Hustlers</v>
      </c>
      <c r="T40" s="88" t="str">
        <f>IFERROR(__xludf.DUMMYFUNCTION("""COMPUTED_VALUE"""),"Apple Associates")</f>
        <v>Apple Associates</v>
      </c>
      <c r="U40" s="88" t="str">
        <f>IFERROR(__xludf.DUMMYFUNCTION("""COMPUTED_VALUE"""),"Warthogs")</f>
        <v>Warthogs</v>
      </c>
      <c r="V40" s="109">
        <f>IFERROR(__xludf.DUMMYFUNCTION("""COMPUTED_VALUE"""),45915.0)</f>
        <v>45915</v>
      </c>
      <c r="W40" s="73"/>
      <c r="X40" s="93"/>
      <c r="Y40" s="93"/>
      <c r="Z40" s="93"/>
    </row>
    <row r="41">
      <c r="A41" s="73"/>
      <c r="B41" s="55" t="str">
        <f>IFERROR(__xludf.DUMMYFUNCTION("""COMPUTED_VALUE"""),"Match Day 3")</f>
        <v>Match Day 3</v>
      </c>
      <c r="C41" s="118" t="str">
        <f>IFERROR(__xludf.DUMMYFUNCTION("""COMPUTED_VALUE"""),"Apple Associates")</f>
        <v>Apple Associates</v>
      </c>
      <c r="D41" s="119" t="str">
        <f>IFERROR(__xludf.DUMMYFUNCTION("""COMPUTED_VALUE"""),"Warthogs")</f>
        <v>Warthogs</v>
      </c>
      <c r="E41" s="119" t="str">
        <f>IFERROR(__xludf.DUMMYFUNCTION("""COMPUTED_VALUE"""),"Insider Traders")</f>
        <v>Insider Traders</v>
      </c>
      <c r="F41" s="119" t="str">
        <f>IFERROR(__xludf.DUMMYFUNCTION("""COMPUTED_VALUE"""),"Havarti Hustlers")</f>
        <v>Havarti Hustlers</v>
      </c>
      <c r="G41" s="107"/>
      <c r="H41" s="119" t="str">
        <f>IFERROR(__xludf.DUMMYFUNCTION("""COMPUTED_VALUE"""),"Blitzars")</f>
        <v>Blitzars</v>
      </c>
      <c r="I41" s="119" t="str">
        <f>IFERROR(__xludf.DUMMYFUNCTION("""COMPUTED_VALUE"""),"Jinyiwei")</f>
        <v>Jinyiwei</v>
      </c>
      <c r="J41" s="119" t="str">
        <f>IFERROR(__xludf.DUMMYFUNCTION("""COMPUTED_VALUE"""),"Gold Hoarders")</f>
        <v>Gold Hoarders</v>
      </c>
      <c r="K41" s="119" t="str">
        <f>IFERROR(__xludf.DUMMYFUNCTION("""COMPUTED_VALUE"""),"Glams")</f>
        <v>Glams</v>
      </c>
      <c r="L41" s="107"/>
      <c r="M41" s="119" t="str">
        <f>IFERROR(__xludf.DUMMYFUNCTION("""COMPUTED_VALUE"""),"Warbirds")</f>
        <v>Warbirds</v>
      </c>
      <c r="N41" s="119" t="str">
        <f>IFERROR(__xludf.DUMMYFUNCTION("""COMPUTED_VALUE"""),"Shade")</f>
        <v>Shade</v>
      </c>
      <c r="O41" s="119" t="str">
        <f>IFERROR(__xludf.DUMMYFUNCTION("""COMPUTED_VALUE"""),"Meat Lovers")</f>
        <v>Meat Lovers</v>
      </c>
      <c r="P41" s="119" t="str">
        <f>IFERROR(__xludf.DUMMYFUNCTION("""COMPUTED_VALUE"""),"Zombies")</f>
        <v>Zombies</v>
      </c>
      <c r="Q41" s="120"/>
      <c r="R41" s="119" t="str">
        <f>IFERROR(__xludf.DUMMYFUNCTION("""COMPUTED_VALUE"""),"Corals")</f>
        <v>Corals</v>
      </c>
      <c r="S41" s="119" t="str">
        <f>IFERROR(__xludf.DUMMYFUNCTION("""COMPUTED_VALUE"""),"Scribes")</f>
        <v>Scribes</v>
      </c>
      <c r="T41" s="119" t="str">
        <f>IFERROR(__xludf.DUMMYFUNCTION("""COMPUTED_VALUE"""),"Stingrays")</f>
        <v>Stingrays</v>
      </c>
      <c r="U41" s="119" t="str">
        <f>IFERROR(__xludf.DUMMYFUNCTION("""COMPUTED_VALUE"""),"Happy B-day Jess")</f>
        <v>Happy B-day Jess</v>
      </c>
      <c r="V41" s="109">
        <f>IFERROR(__xludf.DUMMYFUNCTION("""COMPUTED_VALUE"""),45917.0)</f>
        <v>45917</v>
      </c>
      <c r="W41" s="73"/>
      <c r="X41" s="93"/>
      <c r="Y41" s="93"/>
      <c r="Z41" s="93"/>
    </row>
    <row r="42">
      <c r="A42" s="73"/>
      <c r="B42" s="55" t="str">
        <f>IFERROR(__xludf.DUMMYFUNCTION("""COMPUTED_VALUE"""),"Match Day 4")</f>
        <v>Match Day 4</v>
      </c>
      <c r="C42" s="118" t="str">
        <f>IFERROR(__xludf.DUMMYFUNCTION("""COMPUTED_VALUE"""),"Havarti Hustlers")</f>
        <v>Havarti Hustlers</v>
      </c>
      <c r="D42" s="119" t="str">
        <f>IFERROR(__xludf.DUMMYFUNCTION("""COMPUTED_VALUE"""),"Insider Traders")</f>
        <v>Insider Traders</v>
      </c>
      <c r="E42" s="119" t="str">
        <f>IFERROR(__xludf.DUMMYFUNCTION("""COMPUTED_VALUE"""),"Warthogs")</f>
        <v>Warthogs</v>
      </c>
      <c r="F42" s="119" t="str">
        <f>IFERROR(__xludf.DUMMYFUNCTION("""COMPUTED_VALUE"""),"Apple Associates")</f>
        <v>Apple Associates</v>
      </c>
      <c r="G42" s="107"/>
      <c r="H42" s="119" t="str">
        <f>IFERROR(__xludf.DUMMYFUNCTION("""COMPUTED_VALUE"""),"Glams")</f>
        <v>Glams</v>
      </c>
      <c r="I42" s="119" t="str">
        <f>IFERROR(__xludf.DUMMYFUNCTION("""COMPUTED_VALUE"""),"Gold Hoarders")</f>
        <v>Gold Hoarders</v>
      </c>
      <c r="J42" s="119" t="str">
        <f>IFERROR(__xludf.DUMMYFUNCTION("""COMPUTED_VALUE"""),"Jinyiwei")</f>
        <v>Jinyiwei</v>
      </c>
      <c r="K42" s="119" t="str">
        <f>IFERROR(__xludf.DUMMYFUNCTION("""COMPUTED_VALUE"""),"Blitzars")</f>
        <v>Blitzars</v>
      </c>
      <c r="L42" s="107"/>
      <c r="M42" s="119" t="str">
        <f>IFERROR(__xludf.DUMMYFUNCTION("""COMPUTED_VALUE"""),"Zombies")</f>
        <v>Zombies</v>
      </c>
      <c r="N42" s="119" t="str">
        <f>IFERROR(__xludf.DUMMYFUNCTION("""COMPUTED_VALUE"""),"Meat Lovers")</f>
        <v>Meat Lovers</v>
      </c>
      <c r="O42" s="119" t="str">
        <f>IFERROR(__xludf.DUMMYFUNCTION("""COMPUTED_VALUE"""),"Shade")</f>
        <v>Shade</v>
      </c>
      <c r="P42" s="119" t="str">
        <f>IFERROR(__xludf.DUMMYFUNCTION("""COMPUTED_VALUE"""),"Warbirds")</f>
        <v>Warbirds</v>
      </c>
      <c r="Q42" s="120"/>
      <c r="R42" s="119" t="str">
        <f>IFERROR(__xludf.DUMMYFUNCTION("""COMPUTED_VALUE"""),"Happy B-day Jess")</f>
        <v>Happy B-day Jess</v>
      </c>
      <c r="S42" s="119" t="str">
        <f>IFERROR(__xludf.DUMMYFUNCTION("""COMPUTED_VALUE"""),"Stingrays")</f>
        <v>Stingrays</v>
      </c>
      <c r="T42" s="119" t="str">
        <f>IFERROR(__xludf.DUMMYFUNCTION("""COMPUTED_VALUE"""),"Scribes")</f>
        <v>Scribes</v>
      </c>
      <c r="U42" s="119" t="str">
        <f>IFERROR(__xludf.DUMMYFUNCTION("""COMPUTED_VALUE"""),"Corals")</f>
        <v>Corals</v>
      </c>
      <c r="V42" s="109">
        <f>IFERROR(__xludf.DUMMYFUNCTION("""COMPUTED_VALUE"""),45922.0)</f>
        <v>45922</v>
      </c>
      <c r="W42" s="73"/>
      <c r="X42" s="93"/>
      <c r="Y42" s="93"/>
      <c r="Z42" s="93"/>
    </row>
    <row r="43">
      <c r="A43" s="73"/>
      <c r="B43" s="55" t="str">
        <f>IFERROR(__xludf.DUMMYFUNCTION("""COMPUTED_VALUE"""),"Match Day 5")</f>
        <v>Match Day 5</v>
      </c>
      <c r="C43" s="118" t="str">
        <f>IFERROR(__xludf.DUMMYFUNCTION("""COMPUTED_VALUE"""),"Warthogs")</f>
        <v>Warthogs</v>
      </c>
      <c r="D43" s="119" t="str">
        <f>IFERROR(__xludf.DUMMYFUNCTION("""COMPUTED_VALUE"""),"Apple Associates")</f>
        <v>Apple Associates</v>
      </c>
      <c r="E43" s="119" t="str">
        <f>IFERROR(__xludf.DUMMYFUNCTION("""COMPUTED_VALUE"""),"Havarti Hustlers")</f>
        <v>Havarti Hustlers</v>
      </c>
      <c r="F43" s="119" t="str">
        <f>IFERROR(__xludf.DUMMYFUNCTION("""COMPUTED_VALUE"""),"Insider Traders")</f>
        <v>Insider Traders</v>
      </c>
      <c r="G43" s="107"/>
      <c r="H43" s="119" t="str">
        <f>IFERROR(__xludf.DUMMYFUNCTION("""COMPUTED_VALUE"""),"Jinyiwei")</f>
        <v>Jinyiwei</v>
      </c>
      <c r="I43" s="119" t="str">
        <f>IFERROR(__xludf.DUMMYFUNCTION("""COMPUTED_VALUE"""),"Blitzars")</f>
        <v>Blitzars</v>
      </c>
      <c r="J43" s="119" t="str">
        <f>IFERROR(__xludf.DUMMYFUNCTION("""COMPUTED_VALUE"""),"Glams")</f>
        <v>Glams</v>
      </c>
      <c r="K43" s="119" t="str">
        <f>IFERROR(__xludf.DUMMYFUNCTION("""COMPUTED_VALUE"""),"Gold Hoarders")</f>
        <v>Gold Hoarders</v>
      </c>
      <c r="L43" s="107"/>
      <c r="M43" s="119" t="str">
        <f>IFERROR(__xludf.DUMMYFUNCTION("""COMPUTED_VALUE"""),"Shade")</f>
        <v>Shade</v>
      </c>
      <c r="N43" s="119" t="str">
        <f>IFERROR(__xludf.DUMMYFUNCTION("""COMPUTED_VALUE"""),"Warbirds")</f>
        <v>Warbirds</v>
      </c>
      <c r="O43" s="119" t="str">
        <f>IFERROR(__xludf.DUMMYFUNCTION("""COMPUTED_VALUE"""),"Zombies")</f>
        <v>Zombies</v>
      </c>
      <c r="P43" s="119" t="str">
        <f>IFERROR(__xludf.DUMMYFUNCTION("""COMPUTED_VALUE"""),"Meat Lovers")</f>
        <v>Meat Lovers</v>
      </c>
      <c r="Q43" s="120"/>
      <c r="R43" s="119" t="str">
        <f>IFERROR(__xludf.DUMMYFUNCTION("""COMPUTED_VALUE"""),"Scribes")</f>
        <v>Scribes</v>
      </c>
      <c r="S43" s="119" t="str">
        <f>IFERROR(__xludf.DUMMYFUNCTION("""COMPUTED_VALUE"""),"Corals")</f>
        <v>Corals</v>
      </c>
      <c r="T43" s="119" t="str">
        <f>IFERROR(__xludf.DUMMYFUNCTION("""COMPUTED_VALUE"""),"Happy B-day Jess")</f>
        <v>Happy B-day Jess</v>
      </c>
      <c r="U43" s="119" t="str">
        <f>IFERROR(__xludf.DUMMYFUNCTION("""COMPUTED_VALUE"""),"Stingrays")</f>
        <v>Stingrays</v>
      </c>
      <c r="V43" s="59">
        <f>IFERROR(__xludf.DUMMYFUNCTION("""COMPUTED_VALUE"""),45924.0)</f>
        <v>45924</v>
      </c>
      <c r="W43" s="73"/>
      <c r="X43" s="93"/>
      <c r="Y43" s="93"/>
      <c r="Z43" s="93"/>
    </row>
    <row r="44">
      <c r="A44" s="73"/>
      <c r="B44" s="55" t="str">
        <f>IFERROR(__xludf.DUMMYFUNCTION("""COMPUTED_VALUE"""),"Match Day 6")</f>
        <v>Match Day 6</v>
      </c>
      <c r="C44" s="121" t="str">
        <f>IFERROR(__xludf.DUMMYFUNCTION("""COMPUTED_VALUE"""),"Toucans")</f>
        <v>Toucans</v>
      </c>
      <c r="D44" s="122" t="str">
        <f>IFERROR(__xludf.DUMMYFUNCTION("""COMPUTED_VALUE"""),"Manticore")</f>
        <v>Manticore</v>
      </c>
      <c r="E44" s="122" t="str">
        <f>IFERROR(__xludf.DUMMYFUNCTION("""COMPUTED_VALUE"""),"Spearmint")</f>
        <v>Spearmint</v>
      </c>
      <c r="F44" s="122" t="str">
        <f>IFERROR(__xludf.DUMMYFUNCTION("""COMPUTED_VALUE"""),"Glaciers")</f>
        <v>Glaciers</v>
      </c>
      <c r="G44" s="107"/>
      <c r="H44" s="122" t="str">
        <f>IFERROR(__xludf.DUMMYFUNCTION("""COMPUTED_VALUE"""),"Olympic Knights")</f>
        <v>Olympic Knights</v>
      </c>
      <c r="I44" s="122" t="str">
        <f>IFERROR(__xludf.DUMMYFUNCTION("""COMPUTED_VALUE"""),"Void")</f>
        <v>Void</v>
      </c>
      <c r="J44" s="122" t="str">
        <f>IFERROR(__xludf.DUMMYFUNCTION("""COMPUTED_VALUE"""),"Cooks")</f>
        <v>Cooks</v>
      </c>
      <c r="K44" s="122" t="str">
        <f>IFERROR(__xludf.DUMMYFUNCTION("""COMPUTED_VALUE"""),"Porch Pirates")</f>
        <v>Porch Pirates</v>
      </c>
      <c r="L44" s="107"/>
      <c r="M44" s="122" t="str">
        <f>IFERROR(__xludf.DUMMYFUNCTION("""COMPUTED_VALUE"""),"Threshers")</f>
        <v>Threshers</v>
      </c>
      <c r="N44" s="122" t="str">
        <f>IFERROR(__xludf.DUMMYFUNCTION("""COMPUTED_VALUE"""),"Ryujin")</f>
        <v>Ryujin</v>
      </c>
      <c r="O44" s="122" t="str">
        <f>IFERROR(__xludf.DUMMYFUNCTION("""COMPUTED_VALUE"""),"Chromatic Chaos")</f>
        <v>Chromatic Chaos</v>
      </c>
      <c r="P44" s="122" t="str">
        <f>IFERROR(__xludf.DUMMYFUNCTION("""COMPUTED_VALUE"""),"Metal")</f>
        <v>Metal</v>
      </c>
      <c r="Q44" s="120"/>
      <c r="R44" s="122" t="str">
        <f>IFERROR(__xludf.DUMMYFUNCTION("""COMPUTED_VALUE"""),"Decuriones")</f>
        <v>Decuriones</v>
      </c>
      <c r="S44" s="122" t="str">
        <f>IFERROR(__xludf.DUMMYFUNCTION("""COMPUTED_VALUE"""),"Panda Bears")</f>
        <v>Panda Bears</v>
      </c>
      <c r="T44" s="122" t="str">
        <f>IFERROR(__xludf.DUMMYFUNCTION("""COMPUTED_VALUE"""),"Thunder Pups")</f>
        <v>Thunder Pups</v>
      </c>
      <c r="U44" s="122" t="str">
        <f>IFERROR(__xludf.DUMMYFUNCTION("""COMPUTED_VALUE"""),"Sirens")</f>
        <v>Sirens</v>
      </c>
      <c r="V44" s="59">
        <f>IFERROR(__xludf.DUMMYFUNCTION("""COMPUTED_VALUE"""),45929.0)</f>
        <v>45929</v>
      </c>
      <c r="W44" s="73"/>
      <c r="X44" s="93"/>
      <c r="Y44" s="93"/>
      <c r="Z44" s="93"/>
    </row>
    <row r="45">
      <c r="A45" s="73"/>
      <c r="B45" s="55" t="str">
        <f>IFERROR(__xludf.DUMMYFUNCTION("""COMPUTED_VALUE"""),"Match Day 7")</f>
        <v>Match Day 7</v>
      </c>
      <c r="C45" s="121" t="str">
        <f>IFERROR(__xludf.DUMMYFUNCTION("""COMPUTED_VALUE"""),"Manticore")</f>
        <v>Manticore</v>
      </c>
      <c r="D45" s="122" t="str">
        <f>IFERROR(__xludf.DUMMYFUNCTION("""COMPUTED_VALUE"""),"Toucans")</f>
        <v>Toucans</v>
      </c>
      <c r="E45" s="122" t="str">
        <f>IFERROR(__xludf.DUMMYFUNCTION("""COMPUTED_VALUE"""),"Glaciers")</f>
        <v>Glaciers</v>
      </c>
      <c r="F45" s="122" t="str">
        <f>IFERROR(__xludf.DUMMYFUNCTION("""COMPUTED_VALUE"""),"Spearmint")</f>
        <v>Spearmint</v>
      </c>
      <c r="G45" s="107"/>
      <c r="H45" s="122" t="str">
        <f>IFERROR(__xludf.DUMMYFUNCTION("""COMPUTED_VALUE"""),"Void")</f>
        <v>Void</v>
      </c>
      <c r="I45" s="122" t="str">
        <f>IFERROR(__xludf.DUMMYFUNCTION("""COMPUTED_VALUE"""),"Olympic Knights")</f>
        <v>Olympic Knights</v>
      </c>
      <c r="J45" s="122" t="str">
        <f>IFERROR(__xludf.DUMMYFUNCTION("""COMPUTED_VALUE"""),"Porch Pirates")</f>
        <v>Porch Pirates</v>
      </c>
      <c r="K45" s="122" t="str">
        <f>IFERROR(__xludf.DUMMYFUNCTION("""COMPUTED_VALUE"""),"Cooks")</f>
        <v>Cooks</v>
      </c>
      <c r="L45" s="107"/>
      <c r="M45" s="122" t="str">
        <f>IFERROR(__xludf.DUMMYFUNCTION("""COMPUTED_VALUE"""),"Ryujin")</f>
        <v>Ryujin</v>
      </c>
      <c r="N45" s="122" t="str">
        <f>IFERROR(__xludf.DUMMYFUNCTION("""COMPUTED_VALUE"""),"Threshers")</f>
        <v>Threshers</v>
      </c>
      <c r="O45" s="122" t="str">
        <f>IFERROR(__xludf.DUMMYFUNCTION("""COMPUTED_VALUE"""),"Metal")</f>
        <v>Metal</v>
      </c>
      <c r="P45" s="122" t="str">
        <f>IFERROR(__xludf.DUMMYFUNCTION("""COMPUTED_VALUE"""),"Chromatic Chaos")</f>
        <v>Chromatic Chaos</v>
      </c>
      <c r="Q45" s="120"/>
      <c r="R45" s="122" t="str">
        <f>IFERROR(__xludf.DUMMYFUNCTION("""COMPUTED_VALUE"""),"Panda Bears")</f>
        <v>Panda Bears</v>
      </c>
      <c r="S45" s="122" t="str">
        <f>IFERROR(__xludf.DUMMYFUNCTION("""COMPUTED_VALUE"""),"Decuriones")</f>
        <v>Decuriones</v>
      </c>
      <c r="T45" s="122" t="str">
        <f>IFERROR(__xludf.DUMMYFUNCTION("""COMPUTED_VALUE"""),"Sirens")</f>
        <v>Sirens</v>
      </c>
      <c r="U45" s="122" t="str">
        <f>IFERROR(__xludf.DUMMYFUNCTION("""COMPUTED_VALUE"""),"Thunder Pups")</f>
        <v>Thunder Pups</v>
      </c>
      <c r="V45" s="59">
        <f>IFERROR(__xludf.DUMMYFUNCTION("""COMPUTED_VALUE"""),45931.0)</f>
        <v>45931</v>
      </c>
      <c r="W45" s="73"/>
      <c r="X45" s="93"/>
      <c r="Y45" s="93"/>
      <c r="Z45" s="93"/>
    </row>
    <row r="46">
      <c r="A46" s="73"/>
      <c r="B46" s="55" t="str">
        <f>IFERROR(__xludf.DUMMYFUNCTION("""COMPUTED_VALUE"""),"Match Day 8")</f>
        <v>Match Day 8</v>
      </c>
      <c r="C46" s="121" t="str">
        <f>IFERROR(__xludf.DUMMYFUNCTION("""COMPUTED_VALUE"""),"Glaciers")</f>
        <v>Glaciers</v>
      </c>
      <c r="D46" s="122" t="str">
        <f>IFERROR(__xludf.DUMMYFUNCTION("""COMPUTED_VALUE"""),"Spearmint")</f>
        <v>Spearmint</v>
      </c>
      <c r="E46" s="122" t="str">
        <f>IFERROR(__xludf.DUMMYFUNCTION("""COMPUTED_VALUE"""),"Manticore")</f>
        <v>Manticore</v>
      </c>
      <c r="F46" s="122" t="str">
        <f>IFERROR(__xludf.DUMMYFUNCTION("""COMPUTED_VALUE"""),"Toucans")</f>
        <v>Toucans</v>
      </c>
      <c r="G46" s="107"/>
      <c r="H46" s="122" t="str">
        <f>IFERROR(__xludf.DUMMYFUNCTION("""COMPUTED_VALUE"""),"Porch Pirates")</f>
        <v>Porch Pirates</v>
      </c>
      <c r="I46" s="122" t="str">
        <f>IFERROR(__xludf.DUMMYFUNCTION("""COMPUTED_VALUE"""),"Cooks")</f>
        <v>Cooks</v>
      </c>
      <c r="J46" s="122" t="str">
        <f>IFERROR(__xludf.DUMMYFUNCTION("""COMPUTED_VALUE"""),"Void")</f>
        <v>Void</v>
      </c>
      <c r="K46" s="122" t="str">
        <f>IFERROR(__xludf.DUMMYFUNCTION("""COMPUTED_VALUE"""),"Olympic Knights")</f>
        <v>Olympic Knights</v>
      </c>
      <c r="L46" s="107"/>
      <c r="M46" s="122" t="str">
        <f>IFERROR(__xludf.DUMMYFUNCTION("""COMPUTED_VALUE"""),"Metal")</f>
        <v>Metal</v>
      </c>
      <c r="N46" s="122" t="str">
        <f>IFERROR(__xludf.DUMMYFUNCTION("""COMPUTED_VALUE"""),"Chromatic Chaos")</f>
        <v>Chromatic Chaos</v>
      </c>
      <c r="O46" s="122" t="str">
        <f>IFERROR(__xludf.DUMMYFUNCTION("""COMPUTED_VALUE"""),"Ryujin")</f>
        <v>Ryujin</v>
      </c>
      <c r="P46" s="122" t="str">
        <f>IFERROR(__xludf.DUMMYFUNCTION("""COMPUTED_VALUE"""),"Threshers")</f>
        <v>Threshers</v>
      </c>
      <c r="Q46" s="120"/>
      <c r="R46" s="122" t="str">
        <f>IFERROR(__xludf.DUMMYFUNCTION("""COMPUTED_VALUE"""),"Sirens")</f>
        <v>Sirens</v>
      </c>
      <c r="S46" s="122" t="str">
        <f>IFERROR(__xludf.DUMMYFUNCTION("""COMPUTED_VALUE"""),"Thunder Pups")</f>
        <v>Thunder Pups</v>
      </c>
      <c r="T46" s="122" t="str">
        <f>IFERROR(__xludf.DUMMYFUNCTION("""COMPUTED_VALUE"""),"Panda Bears")</f>
        <v>Panda Bears</v>
      </c>
      <c r="U46" s="122" t="str">
        <f>IFERROR(__xludf.DUMMYFUNCTION("""COMPUTED_VALUE"""),"Decuriones")</f>
        <v>Decuriones</v>
      </c>
      <c r="V46" s="59">
        <f>IFERROR(__xludf.DUMMYFUNCTION("""COMPUTED_VALUE"""),45936.0)</f>
        <v>45936</v>
      </c>
      <c r="W46" s="73"/>
      <c r="X46" s="93"/>
      <c r="Y46" s="93"/>
      <c r="Z46" s="93"/>
    </row>
    <row r="47">
      <c r="A47" s="73"/>
      <c r="B47" s="67" t="str">
        <f>IFERROR(__xludf.DUMMYFUNCTION("""COMPUTED_VALUE"""),"Match Day 9")</f>
        <v>Match Day 9</v>
      </c>
      <c r="C47" s="87" t="str">
        <f>IFERROR(__xludf.DUMMYFUNCTION("""COMPUTED_VALUE"""),"Meat Lovers")</f>
        <v>Meat Lovers</v>
      </c>
      <c r="D47" s="88" t="str">
        <f>IFERROR(__xludf.DUMMYFUNCTION("""COMPUTED_VALUE"""),"Zombies")</f>
        <v>Zombies</v>
      </c>
      <c r="E47" s="88" t="str">
        <f>IFERROR(__xludf.DUMMYFUNCTION("""COMPUTED_VALUE"""),"Warbirds")</f>
        <v>Warbirds</v>
      </c>
      <c r="F47" s="88" t="str">
        <f>IFERROR(__xludf.DUMMYFUNCTION("""COMPUTED_VALUE"""),"Shade")</f>
        <v>Shade</v>
      </c>
      <c r="G47" s="107"/>
      <c r="H47" s="88" t="str">
        <f>IFERROR(__xludf.DUMMYFUNCTION("""COMPUTED_VALUE"""),"Stingrays")</f>
        <v>Stingrays</v>
      </c>
      <c r="I47" s="88" t="str">
        <f>IFERROR(__xludf.DUMMYFUNCTION("""COMPUTED_VALUE"""),"Happy B-day Jess")</f>
        <v>Happy B-day Jess</v>
      </c>
      <c r="J47" s="88" t="str">
        <f>IFERROR(__xludf.DUMMYFUNCTION("""COMPUTED_VALUE"""),"Corals")</f>
        <v>Corals</v>
      </c>
      <c r="K47" s="88" t="str">
        <f>IFERROR(__xludf.DUMMYFUNCTION("""COMPUTED_VALUE"""),"Scribes")</f>
        <v>Scribes</v>
      </c>
      <c r="L47" s="107"/>
      <c r="M47" s="88" t="str">
        <f>IFERROR(__xludf.DUMMYFUNCTION("""COMPUTED_VALUE"""),"Insider Traders")</f>
        <v>Insider Traders</v>
      </c>
      <c r="N47" s="88" t="str">
        <f>IFERROR(__xludf.DUMMYFUNCTION("""COMPUTED_VALUE"""),"Havarti Hustlers")</f>
        <v>Havarti Hustlers</v>
      </c>
      <c r="O47" s="88" t="str">
        <f>IFERROR(__xludf.DUMMYFUNCTION("""COMPUTED_VALUE"""),"Apple Associates")</f>
        <v>Apple Associates</v>
      </c>
      <c r="P47" s="88" t="str">
        <f>IFERROR(__xludf.DUMMYFUNCTION("""COMPUTED_VALUE"""),"Warthogs")</f>
        <v>Warthogs</v>
      </c>
      <c r="Q47" s="120"/>
      <c r="R47" s="88" t="str">
        <f>IFERROR(__xludf.DUMMYFUNCTION("""COMPUTED_VALUE"""),"Gold Hoarders")</f>
        <v>Gold Hoarders</v>
      </c>
      <c r="S47" s="88" t="str">
        <f>IFERROR(__xludf.DUMMYFUNCTION("""COMPUTED_VALUE"""),"Glams")</f>
        <v>Glams</v>
      </c>
      <c r="T47" s="88" t="str">
        <f>IFERROR(__xludf.DUMMYFUNCTION("""COMPUTED_VALUE"""),"Blitzars")</f>
        <v>Blitzars</v>
      </c>
      <c r="U47" s="88" t="str">
        <f>IFERROR(__xludf.DUMMYFUNCTION("""COMPUTED_VALUE"""),"Jinyiwei")</f>
        <v>Jinyiwei</v>
      </c>
      <c r="V47" s="59">
        <f>IFERROR(__xludf.DUMMYFUNCTION("""COMPUTED_VALUE"""),45938.0)</f>
        <v>45938</v>
      </c>
      <c r="W47" s="73"/>
      <c r="X47" s="93"/>
      <c r="Y47" s="93"/>
      <c r="Z47" s="93"/>
    </row>
    <row r="48">
      <c r="A48" s="73"/>
      <c r="B48" s="55" t="str">
        <f>IFERROR(__xludf.DUMMYFUNCTION("""COMPUTED_VALUE"""),"Match Day 10")</f>
        <v>Match Day 10</v>
      </c>
      <c r="C48" s="87" t="str">
        <f>IFERROR(__xludf.DUMMYFUNCTION("""COMPUTED_VALUE"""),"Zombies")</f>
        <v>Zombies</v>
      </c>
      <c r="D48" s="88" t="str">
        <f>IFERROR(__xludf.DUMMYFUNCTION("""COMPUTED_VALUE"""),"Meat Lovers")</f>
        <v>Meat Lovers</v>
      </c>
      <c r="E48" s="88" t="str">
        <f>IFERROR(__xludf.DUMMYFUNCTION("""COMPUTED_VALUE"""),"Shade")</f>
        <v>Shade</v>
      </c>
      <c r="F48" s="88" t="str">
        <f>IFERROR(__xludf.DUMMYFUNCTION("""COMPUTED_VALUE"""),"Warbirds")</f>
        <v>Warbirds</v>
      </c>
      <c r="G48" s="107"/>
      <c r="H48" s="88" t="str">
        <f>IFERROR(__xludf.DUMMYFUNCTION("""COMPUTED_VALUE"""),"Happy B-day Jess")</f>
        <v>Happy B-day Jess</v>
      </c>
      <c r="I48" s="88" t="str">
        <f>IFERROR(__xludf.DUMMYFUNCTION("""COMPUTED_VALUE"""),"Stingrays")</f>
        <v>Stingrays</v>
      </c>
      <c r="J48" s="88" t="str">
        <f>IFERROR(__xludf.DUMMYFUNCTION("""COMPUTED_VALUE"""),"Scribes")</f>
        <v>Scribes</v>
      </c>
      <c r="K48" s="88" t="str">
        <f>IFERROR(__xludf.DUMMYFUNCTION("""COMPUTED_VALUE"""),"Corals")</f>
        <v>Corals</v>
      </c>
      <c r="L48" s="107"/>
      <c r="M48" s="88" t="str">
        <f>IFERROR(__xludf.DUMMYFUNCTION("""COMPUTED_VALUE"""),"Havarti Hustlers")</f>
        <v>Havarti Hustlers</v>
      </c>
      <c r="N48" s="88" t="str">
        <f>IFERROR(__xludf.DUMMYFUNCTION("""COMPUTED_VALUE"""),"Insider Traders")</f>
        <v>Insider Traders</v>
      </c>
      <c r="O48" s="88" t="str">
        <f>IFERROR(__xludf.DUMMYFUNCTION("""COMPUTED_VALUE"""),"Warthogs")</f>
        <v>Warthogs</v>
      </c>
      <c r="P48" s="88" t="str">
        <f>IFERROR(__xludf.DUMMYFUNCTION("""COMPUTED_VALUE"""),"Apple Associates")</f>
        <v>Apple Associates</v>
      </c>
      <c r="Q48" s="120"/>
      <c r="R48" s="88" t="str">
        <f>IFERROR(__xludf.DUMMYFUNCTION("""COMPUTED_VALUE"""),"Glams")</f>
        <v>Glams</v>
      </c>
      <c r="S48" s="88" t="str">
        <f>IFERROR(__xludf.DUMMYFUNCTION("""COMPUTED_VALUE"""),"Gold Hoarders")</f>
        <v>Gold Hoarders</v>
      </c>
      <c r="T48" s="88" t="str">
        <f>IFERROR(__xludf.DUMMYFUNCTION("""COMPUTED_VALUE"""),"Jinyiwei")</f>
        <v>Jinyiwei</v>
      </c>
      <c r="U48" s="88" t="str">
        <f>IFERROR(__xludf.DUMMYFUNCTION("""COMPUTED_VALUE"""),"Blitzars")</f>
        <v>Blitzars</v>
      </c>
      <c r="V48" s="59">
        <f>IFERROR(__xludf.DUMMYFUNCTION("""COMPUTED_VALUE"""),45945.0)</f>
        <v>45945</v>
      </c>
      <c r="W48" s="73"/>
      <c r="X48" s="93"/>
      <c r="Y48" s="93"/>
      <c r="Z48" s="93"/>
    </row>
    <row r="49">
      <c r="A49" s="73"/>
      <c r="B49" s="55" t="str">
        <f>IFERROR(__xludf.DUMMYFUNCTION("""COMPUTED_VALUE"""),"Match Day 11")</f>
        <v>Match Day 11</v>
      </c>
      <c r="C49" s="87" t="str">
        <f>IFERROR(__xludf.DUMMYFUNCTION("""COMPUTED_VALUE"""),"Warbirds")</f>
        <v>Warbirds</v>
      </c>
      <c r="D49" s="88" t="str">
        <f>IFERROR(__xludf.DUMMYFUNCTION("""COMPUTED_VALUE"""),"Shade")</f>
        <v>Shade</v>
      </c>
      <c r="E49" s="88" t="str">
        <f>IFERROR(__xludf.DUMMYFUNCTION("""COMPUTED_VALUE"""),"Meat Lovers")</f>
        <v>Meat Lovers</v>
      </c>
      <c r="F49" s="88" t="str">
        <f>IFERROR(__xludf.DUMMYFUNCTION("""COMPUTED_VALUE"""),"Zombies")</f>
        <v>Zombies</v>
      </c>
      <c r="G49" s="107"/>
      <c r="H49" s="88" t="str">
        <f>IFERROR(__xludf.DUMMYFUNCTION("""COMPUTED_VALUE"""),"Corals")</f>
        <v>Corals</v>
      </c>
      <c r="I49" s="88" t="str">
        <f>IFERROR(__xludf.DUMMYFUNCTION("""COMPUTED_VALUE"""),"Scribes")</f>
        <v>Scribes</v>
      </c>
      <c r="J49" s="88" t="str">
        <f>IFERROR(__xludf.DUMMYFUNCTION("""COMPUTED_VALUE"""),"Stingrays")</f>
        <v>Stingrays</v>
      </c>
      <c r="K49" s="88" t="str">
        <f>IFERROR(__xludf.DUMMYFUNCTION("""COMPUTED_VALUE"""),"Happy B-day Jess")</f>
        <v>Happy B-day Jess</v>
      </c>
      <c r="L49" s="107"/>
      <c r="M49" s="88" t="str">
        <f>IFERROR(__xludf.DUMMYFUNCTION("""COMPUTED_VALUE"""),"Apple Associates")</f>
        <v>Apple Associates</v>
      </c>
      <c r="N49" s="88" t="str">
        <f>IFERROR(__xludf.DUMMYFUNCTION("""COMPUTED_VALUE"""),"Warthogs")</f>
        <v>Warthogs</v>
      </c>
      <c r="O49" s="88" t="str">
        <f>IFERROR(__xludf.DUMMYFUNCTION("""COMPUTED_VALUE"""),"Insider Traders")</f>
        <v>Insider Traders</v>
      </c>
      <c r="P49" s="88" t="str">
        <f>IFERROR(__xludf.DUMMYFUNCTION("""COMPUTED_VALUE"""),"Havarti Hustlers")</f>
        <v>Havarti Hustlers</v>
      </c>
      <c r="Q49" s="120"/>
      <c r="R49" s="88" t="str">
        <f>IFERROR(__xludf.DUMMYFUNCTION("""COMPUTED_VALUE"""),"Blitzars")</f>
        <v>Blitzars</v>
      </c>
      <c r="S49" s="88" t="str">
        <f>IFERROR(__xludf.DUMMYFUNCTION("""COMPUTED_VALUE"""),"Jinyiwei")</f>
        <v>Jinyiwei</v>
      </c>
      <c r="T49" s="88" t="str">
        <f>IFERROR(__xludf.DUMMYFUNCTION("""COMPUTED_VALUE"""),"Gold Hoarders")</f>
        <v>Gold Hoarders</v>
      </c>
      <c r="U49" s="88" t="str">
        <f>IFERROR(__xludf.DUMMYFUNCTION("""COMPUTED_VALUE"""),"Glams")</f>
        <v>Glams</v>
      </c>
      <c r="V49" s="59">
        <f>IFERROR(__xludf.DUMMYFUNCTION("""COMPUTED_VALUE"""),45950.0)</f>
        <v>45950</v>
      </c>
      <c r="W49" s="73"/>
      <c r="X49" s="93"/>
      <c r="Y49" s="93"/>
      <c r="Z49" s="93"/>
    </row>
    <row r="50">
      <c r="A50" s="73"/>
      <c r="B50" s="68" t="str">
        <f>IFERROR(__xludf.DUMMYFUNCTION("""COMPUTED_VALUE"""),"Match Day 12")</f>
        <v>Match Day 12</v>
      </c>
      <c r="C50" s="87" t="str">
        <f>IFERROR(__xludf.DUMMYFUNCTION("""COMPUTED_VALUE"""),"Shade")</f>
        <v>Shade</v>
      </c>
      <c r="D50" s="88" t="str">
        <f>IFERROR(__xludf.DUMMYFUNCTION("""COMPUTED_VALUE"""),"Warbirds")</f>
        <v>Warbirds</v>
      </c>
      <c r="E50" s="88" t="str">
        <f>IFERROR(__xludf.DUMMYFUNCTION("""COMPUTED_VALUE"""),"Zombies")</f>
        <v>Zombies</v>
      </c>
      <c r="F50" s="88" t="str">
        <f>IFERROR(__xludf.DUMMYFUNCTION("""COMPUTED_VALUE"""),"Meat Lovers")</f>
        <v>Meat Lovers</v>
      </c>
      <c r="G50" s="107"/>
      <c r="H50" s="88" t="str">
        <f>IFERROR(__xludf.DUMMYFUNCTION("""COMPUTED_VALUE"""),"Scribes")</f>
        <v>Scribes</v>
      </c>
      <c r="I50" s="88" t="str">
        <f>IFERROR(__xludf.DUMMYFUNCTION("""COMPUTED_VALUE"""),"Corals")</f>
        <v>Corals</v>
      </c>
      <c r="J50" s="88" t="str">
        <f>IFERROR(__xludf.DUMMYFUNCTION("""COMPUTED_VALUE"""),"Happy B-day Jess")</f>
        <v>Happy B-day Jess</v>
      </c>
      <c r="K50" s="88" t="str">
        <f>IFERROR(__xludf.DUMMYFUNCTION("""COMPUTED_VALUE"""),"Stingrays")</f>
        <v>Stingrays</v>
      </c>
      <c r="L50" s="107"/>
      <c r="M50" s="88" t="str">
        <f>IFERROR(__xludf.DUMMYFUNCTION("""COMPUTED_VALUE"""),"Warthogs")</f>
        <v>Warthogs</v>
      </c>
      <c r="N50" s="88" t="str">
        <f>IFERROR(__xludf.DUMMYFUNCTION("""COMPUTED_VALUE"""),"Apple Associates")</f>
        <v>Apple Associates</v>
      </c>
      <c r="O50" s="88" t="str">
        <f>IFERROR(__xludf.DUMMYFUNCTION("""COMPUTED_VALUE"""),"Havarti Hustlers")</f>
        <v>Havarti Hustlers</v>
      </c>
      <c r="P50" s="88" t="str">
        <f>IFERROR(__xludf.DUMMYFUNCTION("""COMPUTED_VALUE"""),"Insider Traders")</f>
        <v>Insider Traders</v>
      </c>
      <c r="Q50" s="120"/>
      <c r="R50" s="88" t="str">
        <f>IFERROR(__xludf.DUMMYFUNCTION("""COMPUTED_VALUE"""),"Jinyiwei")</f>
        <v>Jinyiwei</v>
      </c>
      <c r="S50" s="88" t="str">
        <f>IFERROR(__xludf.DUMMYFUNCTION("""COMPUTED_VALUE"""),"Blitzars")</f>
        <v>Blitzars</v>
      </c>
      <c r="T50" s="88" t="str">
        <f>IFERROR(__xludf.DUMMYFUNCTION("""COMPUTED_VALUE"""),"Glams")</f>
        <v>Glams</v>
      </c>
      <c r="U50" s="88" t="str">
        <f>IFERROR(__xludf.DUMMYFUNCTION("""COMPUTED_VALUE"""),"Gold Hoarders")</f>
        <v>Gold Hoarders</v>
      </c>
      <c r="V50" s="59">
        <f>IFERROR(__xludf.DUMMYFUNCTION("""COMPUTED_VALUE"""),45952.0)</f>
        <v>45952</v>
      </c>
      <c r="W50" s="73"/>
      <c r="X50" s="93"/>
      <c r="Y50" s="93"/>
      <c r="Z50" s="93"/>
    </row>
    <row r="51">
      <c r="A51" s="73"/>
      <c r="B51" s="68" t="str">
        <f>IFERROR(__xludf.DUMMYFUNCTION("""COMPUTED_VALUE"""),"Match Day 13")</f>
        <v>Match Day 13</v>
      </c>
      <c r="C51" s="118" t="str">
        <f>IFERROR(__xludf.DUMMYFUNCTION("""COMPUTED_VALUE"""),"Apple Associates")</f>
        <v>Apple Associates</v>
      </c>
      <c r="D51" s="119" t="str">
        <f>IFERROR(__xludf.DUMMYFUNCTION("""COMPUTED_VALUE"""),"Warthogs")</f>
        <v>Warthogs</v>
      </c>
      <c r="E51" s="119" t="str">
        <f>IFERROR(__xludf.DUMMYFUNCTION("""COMPUTED_VALUE"""),"Insider Traders")</f>
        <v>Insider Traders</v>
      </c>
      <c r="F51" s="119" t="str">
        <f>IFERROR(__xludf.DUMMYFUNCTION("""COMPUTED_VALUE"""),"Havarti Hustlers")</f>
        <v>Havarti Hustlers</v>
      </c>
      <c r="G51" s="107"/>
      <c r="H51" s="119" t="str">
        <f>IFERROR(__xludf.DUMMYFUNCTION("""COMPUTED_VALUE"""),"Blitzars")</f>
        <v>Blitzars</v>
      </c>
      <c r="I51" s="119" t="str">
        <f>IFERROR(__xludf.DUMMYFUNCTION("""COMPUTED_VALUE"""),"Jinyiwei")</f>
        <v>Jinyiwei</v>
      </c>
      <c r="J51" s="119" t="str">
        <f>IFERROR(__xludf.DUMMYFUNCTION("""COMPUTED_VALUE"""),"Gold Hoarders")</f>
        <v>Gold Hoarders</v>
      </c>
      <c r="K51" s="119" t="str">
        <f>IFERROR(__xludf.DUMMYFUNCTION("""COMPUTED_VALUE"""),"Glams")</f>
        <v>Glams</v>
      </c>
      <c r="L51" s="107"/>
      <c r="M51" s="119" t="str">
        <f>IFERROR(__xludf.DUMMYFUNCTION("""COMPUTED_VALUE"""),"Warbirds")</f>
        <v>Warbirds</v>
      </c>
      <c r="N51" s="119" t="str">
        <f>IFERROR(__xludf.DUMMYFUNCTION("""COMPUTED_VALUE"""),"Shade")</f>
        <v>Shade</v>
      </c>
      <c r="O51" s="119" t="str">
        <f>IFERROR(__xludf.DUMMYFUNCTION("""COMPUTED_VALUE"""),"Meat Lovers")</f>
        <v>Meat Lovers</v>
      </c>
      <c r="P51" s="119" t="str">
        <f>IFERROR(__xludf.DUMMYFUNCTION("""COMPUTED_VALUE"""),"Zombies")</f>
        <v>Zombies</v>
      </c>
      <c r="Q51" s="120"/>
      <c r="R51" s="119" t="str">
        <f>IFERROR(__xludf.DUMMYFUNCTION("""COMPUTED_VALUE"""),"Corals")</f>
        <v>Corals</v>
      </c>
      <c r="S51" s="119" t="str">
        <f>IFERROR(__xludf.DUMMYFUNCTION("""COMPUTED_VALUE"""),"Scribes")</f>
        <v>Scribes</v>
      </c>
      <c r="T51" s="119" t="str">
        <f>IFERROR(__xludf.DUMMYFUNCTION("""COMPUTED_VALUE"""),"Stingrays")</f>
        <v>Stingrays</v>
      </c>
      <c r="U51" s="119" t="str">
        <f>IFERROR(__xludf.DUMMYFUNCTION("""COMPUTED_VALUE"""),"Happy B-day Jess")</f>
        <v>Happy B-day Jess</v>
      </c>
      <c r="V51" s="59">
        <f>IFERROR(__xludf.DUMMYFUNCTION("""COMPUTED_VALUE"""),45957.0)</f>
        <v>45957</v>
      </c>
      <c r="W51" s="73"/>
      <c r="X51" s="93"/>
      <c r="Y51" s="93"/>
      <c r="Z51" s="93"/>
    </row>
    <row r="52">
      <c r="A52" s="73"/>
      <c r="B52" s="55" t="str">
        <f>IFERROR(__xludf.DUMMYFUNCTION("""COMPUTED_VALUE"""),"Match Day 14")</f>
        <v>Match Day 14</v>
      </c>
      <c r="C52" s="118" t="str">
        <f>IFERROR(__xludf.DUMMYFUNCTION("""COMPUTED_VALUE"""),"Havarti Hustlers")</f>
        <v>Havarti Hustlers</v>
      </c>
      <c r="D52" s="119" t="str">
        <f>IFERROR(__xludf.DUMMYFUNCTION("""COMPUTED_VALUE"""),"Insider Traders")</f>
        <v>Insider Traders</v>
      </c>
      <c r="E52" s="119" t="str">
        <f>IFERROR(__xludf.DUMMYFUNCTION("""COMPUTED_VALUE"""),"Warthogs")</f>
        <v>Warthogs</v>
      </c>
      <c r="F52" s="119" t="str">
        <f>IFERROR(__xludf.DUMMYFUNCTION("""COMPUTED_VALUE"""),"Apple Associates")</f>
        <v>Apple Associates</v>
      </c>
      <c r="G52" s="123"/>
      <c r="H52" s="119" t="str">
        <f>IFERROR(__xludf.DUMMYFUNCTION("""COMPUTED_VALUE"""),"Glams")</f>
        <v>Glams</v>
      </c>
      <c r="I52" s="119" t="str">
        <f>IFERROR(__xludf.DUMMYFUNCTION("""COMPUTED_VALUE"""),"Gold Hoarders")</f>
        <v>Gold Hoarders</v>
      </c>
      <c r="J52" s="119" t="str">
        <f>IFERROR(__xludf.DUMMYFUNCTION("""COMPUTED_VALUE"""),"Jinyiwei")</f>
        <v>Jinyiwei</v>
      </c>
      <c r="K52" s="119" t="str">
        <f>IFERROR(__xludf.DUMMYFUNCTION("""COMPUTED_VALUE"""),"Blitzars")</f>
        <v>Blitzars</v>
      </c>
      <c r="L52" s="123"/>
      <c r="M52" s="119" t="str">
        <f>IFERROR(__xludf.DUMMYFUNCTION("""COMPUTED_VALUE"""),"Zombies")</f>
        <v>Zombies</v>
      </c>
      <c r="N52" s="119" t="str">
        <f>IFERROR(__xludf.DUMMYFUNCTION("""COMPUTED_VALUE"""),"Meat Lovers")</f>
        <v>Meat Lovers</v>
      </c>
      <c r="O52" s="119" t="str">
        <f>IFERROR(__xludf.DUMMYFUNCTION("""COMPUTED_VALUE"""),"Shade")</f>
        <v>Shade</v>
      </c>
      <c r="P52" s="119" t="str">
        <f>IFERROR(__xludf.DUMMYFUNCTION("""COMPUTED_VALUE"""),"Warbirds")</f>
        <v>Warbirds</v>
      </c>
      <c r="Q52" s="120"/>
      <c r="R52" s="119" t="str">
        <f>IFERROR(__xludf.DUMMYFUNCTION("""COMPUTED_VALUE"""),"Happy B-day Jess")</f>
        <v>Happy B-day Jess</v>
      </c>
      <c r="S52" s="119" t="str">
        <f>IFERROR(__xludf.DUMMYFUNCTION("""COMPUTED_VALUE"""),"Stingrays")</f>
        <v>Stingrays</v>
      </c>
      <c r="T52" s="119" t="str">
        <f>IFERROR(__xludf.DUMMYFUNCTION("""COMPUTED_VALUE"""),"Scribes")</f>
        <v>Scribes</v>
      </c>
      <c r="U52" s="119" t="str">
        <f>IFERROR(__xludf.DUMMYFUNCTION("""COMPUTED_VALUE"""),"Corals")</f>
        <v>Corals</v>
      </c>
      <c r="V52" s="59">
        <f>IFERROR(__xludf.DUMMYFUNCTION("""COMPUTED_VALUE"""),45959.0)</f>
        <v>45959</v>
      </c>
      <c r="W52" s="73"/>
      <c r="X52" s="93"/>
      <c r="Y52" s="93"/>
      <c r="Z52" s="93"/>
    </row>
    <row r="53">
      <c r="A53" s="73"/>
      <c r="B53" s="55" t="str">
        <f>IFERROR(__xludf.DUMMYFUNCTION("""COMPUTED_VALUE"""),"Match Day 15")</f>
        <v>Match Day 15</v>
      </c>
      <c r="C53" s="118" t="str">
        <f>IFERROR(__xludf.DUMMYFUNCTION("""COMPUTED_VALUE"""),"Warthogs")</f>
        <v>Warthogs</v>
      </c>
      <c r="D53" s="119" t="str">
        <f>IFERROR(__xludf.DUMMYFUNCTION("""COMPUTED_VALUE"""),"Apple Associates")</f>
        <v>Apple Associates</v>
      </c>
      <c r="E53" s="119" t="str">
        <f>IFERROR(__xludf.DUMMYFUNCTION("""COMPUTED_VALUE"""),"Havarti Hustlers")</f>
        <v>Havarti Hustlers</v>
      </c>
      <c r="F53" s="119" t="str">
        <f>IFERROR(__xludf.DUMMYFUNCTION("""COMPUTED_VALUE"""),"Insider Traders")</f>
        <v>Insider Traders</v>
      </c>
      <c r="G53" s="123"/>
      <c r="H53" s="119" t="str">
        <f>IFERROR(__xludf.DUMMYFUNCTION("""COMPUTED_VALUE"""),"Jinyiwei")</f>
        <v>Jinyiwei</v>
      </c>
      <c r="I53" s="119" t="str">
        <f>IFERROR(__xludf.DUMMYFUNCTION("""COMPUTED_VALUE"""),"Blitzars")</f>
        <v>Blitzars</v>
      </c>
      <c r="J53" s="119" t="str">
        <f>IFERROR(__xludf.DUMMYFUNCTION("""COMPUTED_VALUE"""),"Glams")</f>
        <v>Glams</v>
      </c>
      <c r="K53" s="119" t="str">
        <f>IFERROR(__xludf.DUMMYFUNCTION("""COMPUTED_VALUE"""),"Gold Hoarders")</f>
        <v>Gold Hoarders</v>
      </c>
      <c r="L53" s="123"/>
      <c r="M53" s="119" t="str">
        <f>IFERROR(__xludf.DUMMYFUNCTION("""COMPUTED_VALUE"""),"Shade")</f>
        <v>Shade</v>
      </c>
      <c r="N53" s="119" t="str">
        <f>IFERROR(__xludf.DUMMYFUNCTION("""COMPUTED_VALUE"""),"Warbirds")</f>
        <v>Warbirds</v>
      </c>
      <c r="O53" s="119" t="str">
        <f>IFERROR(__xludf.DUMMYFUNCTION("""COMPUTED_VALUE"""),"Zombies")</f>
        <v>Zombies</v>
      </c>
      <c r="P53" s="119" t="str">
        <f>IFERROR(__xludf.DUMMYFUNCTION("""COMPUTED_VALUE"""),"Meat Lovers")</f>
        <v>Meat Lovers</v>
      </c>
      <c r="Q53" s="120"/>
      <c r="R53" s="119" t="str">
        <f>IFERROR(__xludf.DUMMYFUNCTION("""COMPUTED_VALUE"""),"Scribes")</f>
        <v>Scribes</v>
      </c>
      <c r="S53" s="119" t="str">
        <f>IFERROR(__xludf.DUMMYFUNCTION("""COMPUTED_VALUE"""),"Corals")</f>
        <v>Corals</v>
      </c>
      <c r="T53" s="119" t="str">
        <f>IFERROR(__xludf.DUMMYFUNCTION("""COMPUTED_VALUE"""),"Happy B-day Jess")</f>
        <v>Happy B-day Jess</v>
      </c>
      <c r="U53" s="119" t="str">
        <f>IFERROR(__xludf.DUMMYFUNCTION("""COMPUTED_VALUE"""),"Stingrays")</f>
        <v>Stingrays</v>
      </c>
      <c r="V53" s="59">
        <f>IFERROR(__xludf.DUMMYFUNCTION("""COMPUTED_VALUE"""),45964.0)</f>
        <v>45964</v>
      </c>
      <c r="W53" s="73"/>
      <c r="X53" s="93"/>
      <c r="Y53" s="93"/>
      <c r="Z53" s="93"/>
    </row>
    <row r="54">
      <c r="A54" s="73"/>
      <c r="B54" s="55" t="str">
        <f>IFERROR(__xludf.DUMMYFUNCTION("""COMPUTED_VALUE"""),"Match Day 16")</f>
        <v>Match Day 16</v>
      </c>
      <c r="C54" s="124" t="str">
        <f>IFERROR(__xludf.DUMMYFUNCTION("""COMPUTED_VALUE"""),"Wild-Card (9:45 PM ET) / Quarterfinals (10:30 PM ET)")</f>
        <v>Wild-Card (9:45 PM ET) / Quarterfinals (10:30 PM ET)</v>
      </c>
      <c r="D54" s="27"/>
      <c r="E54" s="27"/>
      <c r="F54" s="27"/>
      <c r="G54" s="27"/>
      <c r="H54" s="27"/>
      <c r="I54" s="27"/>
      <c r="J54" s="27"/>
      <c r="K54" s="90"/>
      <c r="L54" s="43"/>
      <c r="M54" s="124" t="str">
        <f>IFERROR(__xludf.DUMMYFUNCTION("""COMPUTED_VALUE"""),"Wild-Card (9:45 PM ET) / Quarterfinals (10:30 PM ET)")</f>
        <v>Wild-Card (9:45 PM ET) / Quarterfinals (10:30 PM ET)</v>
      </c>
      <c r="N54" s="27"/>
      <c r="O54" s="27"/>
      <c r="P54" s="27"/>
      <c r="Q54" s="27"/>
      <c r="R54" s="27"/>
      <c r="S54" s="27"/>
      <c r="T54" s="27"/>
      <c r="U54" s="90"/>
      <c r="V54" s="59">
        <f>IFERROR(__xludf.DUMMYFUNCTION("""COMPUTED_VALUE"""),45966.0)</f>
        <v>45966</v>
      </c>
      <c r="W54" s="73"/>
      <c r="X54" s="93"/>
      <c r="Y54" s="93"/>
      <c r="Z54" s="93"/>
    </row>
    <row r="55">
      <c r="A55" s="73"/>
      <c r="B55" s="55" t="str">
        <f>IFERROR(__xludf.DUMMYFUNCTION("""COMPUTED_VALUE"""),"Match Day 17")</f>
        <v>Match Day 17</v>
      </c>
      <c r="C55" s="124" t="str">
        <f>IFERROR(__xludf.DUMMYFUNCTION("""COMPUTED_VALUE"""),"Semifinals (10:00 PM ET)")</f>
        <v>Semifinals (10:00 PM ET)</v>
      </c>
      <c r="D55" s="27"/>
      <c r="E55" s="27"/>
      <c r="F55" s="27"/>
      <c r="G55" s="27"/>
      <c r="H55" s="27"/>
      <c r="I55" s="27"/>
      <c r="J55" s="27"/>
      <c r="K55" s="90"/>
      <c r="L55" s="73"/>
      <c r="M55" s="124" t="str">
        <f>IFERROR(__xludf.DUMMYFUNCTION("""COMPUTED_VALUE"""),"Semifinals (10:00 PM ET)")</f>
        <v>Semifinals (10:00 PM ET)</v>
      </c>
      <c r="N55" s="27"/>
      <c r="O55" s="27"/>
      <c r="P55" s="27"/>
      <c r="Q55" s="27"/>
      <c r="R55" s="27"/>
      <c r="S55" s="27"/>
      <c r="T55" s="27"/>
      <c r="U55" s="90"/>
      <c r="V55" s="59">
        <f>IFERROR(__xludf.DUMMYFUNCTION("""COMPUTED_VALUE"""),45971.0)</f>
        <v>45971</v>
      </c>
      <c r="W55" s="73"/>
      <c r="X55" s="93"/>
      <c r="Y55" s="93"/>
      <c r="Z55" s="93"/>
    </row>
    <row r="56">
      <c r="A56" s="73"/>
      <c r="B56" s="55" t="str">
        <f>IFERROR(__xludf.DUMMYFUNCTION("""COMPUTED_VALUE"""),"Match Day 18")</f>
        <v>Match Day 18</v>
      </c>
      <c r="C56" s="124" t="str">
        <f>IFERROR(__xludf.DUMMYFUNCTION("""COMPUTED_VALUE"""),"Finals (9:30 PM ET)")</f>
        <v>Finals (9:30 PM ET)</v>
      </c>
      <c r="D56" s="27"/>
      <c r="E56" s="27"/>
      <c r="F56" s="27"/>
      <c r="G56" s="27"/>
      <c r="H56" s="27"/>
      <c r="I56" s="27"/>
      <c r="J56" s="27"/>
      <c r="K56" s="90"/>
      <c r="L56" s="73"/>
      <c r="M56" s="124" t="str">
        <f>IFERROR(__xludf.DUMMYFUNCTION("""COMPUTED_VALUE"""),"Finals (9:30 PM ET)")</f>
        <v>Finals (9:30 PM ET)</v>
      </c>
      <c r="N56" s="27"/>
      <c r="O56" s="27"/>
      <c r="P56" s="27"/>
      <c r="Q56" s="27"/>
      <c r="R56" s="27"/>
      <c r="S56" s="27"/>
      <c r="T56" s="27"/>
      <c r="U56" s="90"/>
      <c r="V56" s="59">
        <f>IFERROR(__xludf.DUMMYFUNCTION("""COMPUTED_VALUE"""),45973.0)</f>
        <v>45973</v>
      </c>
      <c r="W56" s="73"/>
      <c r="X56" s="93"/>
      <c r="Y56" s="93"/>
      <c r="Z56" s="9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101"/>
      <c r="W57" s="7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126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126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126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126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126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126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126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126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126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126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126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126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126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126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126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126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126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126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126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126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126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126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126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126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126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126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126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126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126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126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126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126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126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126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126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126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126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126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126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126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126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126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126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126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126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126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126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126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126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126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126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126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126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126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126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126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126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126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126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126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126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126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126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126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126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126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126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126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126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126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126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126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126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126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126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126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126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126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126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126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126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126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126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126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126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126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126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126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126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126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126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126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126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126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126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126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126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126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126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126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126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126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126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126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126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126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126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126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126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126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126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126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126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126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126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126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126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126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126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126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126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126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126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126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126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126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126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126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126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126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126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126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126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126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126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126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126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126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126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126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126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126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126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126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126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126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126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126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126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126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126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126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126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126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126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126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126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126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126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126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126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126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126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126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126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126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126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126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126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126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126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126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126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126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126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126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126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126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126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126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126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126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126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126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126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126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126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126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126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126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126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126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126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126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126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126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126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126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126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126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126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126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126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126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126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126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126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126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126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126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126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126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126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126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126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126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126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126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126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126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126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126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126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126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126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126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126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126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126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126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126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126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126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126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126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126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126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126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126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126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126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126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126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126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126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126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126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126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126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126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126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126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126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126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126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126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126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126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126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126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126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126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126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126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126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126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126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126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126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126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126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126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126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126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126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126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126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126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126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126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126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126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126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126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126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126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126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126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126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126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126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126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126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126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126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126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126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126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126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126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126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126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126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126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126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126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126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126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126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126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126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126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126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126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126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126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126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126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126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126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126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126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126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126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126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126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126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126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126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126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126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126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126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126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126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126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126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126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126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126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126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126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126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126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126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126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126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126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126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126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126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126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126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126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126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126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126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126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126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126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126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126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126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126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126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126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126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126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126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126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126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126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126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126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126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126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126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126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126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126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126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126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126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126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126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126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126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126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126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126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126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126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126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126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126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126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126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126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126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126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126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126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126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126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126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126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126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126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126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126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126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126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126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126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126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126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126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126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126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126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126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126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126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126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126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126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126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126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126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126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126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126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126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126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126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126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126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126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126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126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126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126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126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126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126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126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126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126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126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126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126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126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126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126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126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126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126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126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126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126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126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126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126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126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126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126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126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126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126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126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126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126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126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126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126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126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126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126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126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126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126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126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126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126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126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126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126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126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126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126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126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126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126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126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126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126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126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126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126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126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126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126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126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126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126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126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126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126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126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126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126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126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126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126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126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126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126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126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126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126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126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126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126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126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126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126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126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126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126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126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126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126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126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126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126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126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126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126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126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126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126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126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126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126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126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126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126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126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126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126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126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126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126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126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126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126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126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126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126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126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126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126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126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126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126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126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126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126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126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126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126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126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126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126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126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126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126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126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126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126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126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126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126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126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126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126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126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126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126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126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126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126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126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126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126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126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126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126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126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126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126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126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126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126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126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126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126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126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126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126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126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126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126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126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126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126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126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126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126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126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126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126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126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126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126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126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126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126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126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126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126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126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126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126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126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126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126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126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126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126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126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126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126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126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126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126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126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126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126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126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126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126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126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126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126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126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126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126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126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126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126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126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126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126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126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126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126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126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126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126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126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126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126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126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126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126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126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126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126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126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126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126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126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126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126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126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126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126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126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126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126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126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126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126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126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126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126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126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126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126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126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126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126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126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126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126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126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126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126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126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126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126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126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126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126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126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126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126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126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126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126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126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126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126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126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126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126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126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126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126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126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126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126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126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126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126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126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126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126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126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126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126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126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126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126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126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126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126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126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126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126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126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126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126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126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126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126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126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126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126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126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126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126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126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126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126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126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126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126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126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126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126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126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126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126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126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126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126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126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126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126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126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126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126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126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126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126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126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126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126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126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126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126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126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126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126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126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126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126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126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126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126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126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126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126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126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126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126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126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126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126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126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126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126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126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126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126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126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126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126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126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126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126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126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126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126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126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126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126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126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126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126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126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126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126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126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126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126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126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126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126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126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126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126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126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126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126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126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126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126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126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126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126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126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126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126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126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126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126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126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126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126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126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126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126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126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126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126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126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126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126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126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126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126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126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126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126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126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126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126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126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126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126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126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126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126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126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126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126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126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126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126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126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126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126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126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126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126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126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126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126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126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126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126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126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126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126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126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126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126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126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126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126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126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126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126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126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126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126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126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126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126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126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126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126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126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126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126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126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126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126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126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126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126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126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126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126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126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126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126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126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126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126"/>
      <c r="W1000" s="93"/>
      <c r="X1000" s="93"/>
      <c r="Y1000" s="93"/>
      <c r="Z1000" s="93"/>
    </row>
    <row r="1001">
      <c r="A1001" s="93"/>
      <c r="B1001" s="93"/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126"/>
      <c r="W1001" s="93"/>
      <c r="X1001" s="93"/>
      <c r="Y1001" s="93"/>
      <c r="Z1001" s="93"/>
    </row>
    <row r="1002">
      <c r="A1002" s="93"/>
      <c r="B1002" s="93"/>
      <c r="C1002" s="93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126"/>
      <c r="W1002" s="93"/>
      <c r="X1002" s="93"/>
      <c r="Y1002" s="93"/>
      <c r="Z1002" s="93"/>
    </row>
    <row r="1003">
      <c r="A1003" s="93"/>
      <c r="B1003" s="93"/>
      <c r="C1003" s="93"/>
      <c r="D1003" s="93"/>
      <c r="E1003" s="93"/>
      <c r="F1003" s="93"/>
      <c r="G1003" s="93"/>
      <c r="H1003" s="93"/>
      <c r="I1003" s="93"/>
      <c r="J1003" s="93"/>
      <c r="K1003" s="93"/>
      <c r="L1003" s="93"/>
      <c r="M1003" s="93"/>
      <c r="N1003" s="93"/>
      <c r="O1003" s="93"/>
      <c r="P1003" s="93"/>
      <c r="Q1003" s="93"/>
      <c r="R1003" s="93"/>
      <c r="S1003" s="93"/>
      <c r="T1003" s="93"/>
      <c r="U1003" s="93"/>
      <c r="V1003" s="126"/>
      <c r="W1003" s="93"/>
      <c r="X1003" s="93"/>
      <c r="Y1003" s="93"/>
      <c r="Z1003" s="93"/>
    </row>
    <row r="1004">
      <c r="A1004" s="93"/>
      <c r="B1004" s="93"/>
      <c r="C1004" s="93"/>
      <c r="D1004" s="93"/>
      <c r="E1004" s="93"/>
      <c r="F1004" s="93"/>
      <c r="G1004" s="93"/>
      <c r="H1004" s="93"/>
      <c r="I1004" s="93"/>
      <c r="J1004" s="93"/>
      <c r="K1004" s="93"/>
      <c r="L1004" s="93"/>
      <c r="M1004" s="93"/>
      <c r="N1004" s="93"/>
      <c r="O1004" s="93"/>
      <c r="P1004" s="93"/>
      <c r="Q1004" s="93"/>
      <c r="R1004" s="93"/>
      <c r="S1004" s="93"/>
      <c r="T1004" s="93"/>
      <c r="U1004" s="93"/>
      <c r="V1004" s="126"/>
      <c r="W1004" s="93"/>
      <c r="X1004" s="93"/>
      <c r="Y1004" s="93"/>
      <c r="Z1004" s="93"/>
    </row>
  </sheetData>
  <mergeCells count="24">
    <mergeCell ref="C2:U2"/>
    <mergeCell ref="H3:P3"/>
    <mergeCell ref="H4:P5"/>
    <mergeCell ref="C7:F7"/>
    <mergeCell ref="H7:K7"/>
    <mergeCell ref="M7:P7"/>
    <mergeCell ref="R7:U7"/>
    <mergeCell ref="C27:K27"/>
    <mergeCell ref="M27:U27"/>
    <mergeCell ref="C28:K28"/>
    <mergeCell ref="M28:U28"/>
    <mergeCell ref="C29:K29"/>
    <mergeCell ref="M29:U29"/>
    <mergeCell ref="I32:O33"/>
    <mergeCell ref="C55:K55"/>
    <mergeCell ref="C56:K56"/>
    <mergeCell ref="C34:F34"/>
    <mergeCell ref="H34:K34"/>
    <mergeCell ref="M34:P34"/>
    <mergeCell ref="R34:U34"/>
    <mergeCell ref="C54:K54"/>
    <mergeCell ref="M54:U54"/>
    <mergeCell ref="M55:U55"/>
    <mergeCell ref="M56:U5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6B26B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4.0"/>
    <col customWidth="1" min="3" max="9" width="15.13"/>
    <col customWidth="1" min="10" max="10" width="3.88"/>
  </cols>
  <sheetData>
    <row r="1">
      <c r="A1" s="73" t="str">
        <f>IFERROR(__xludf.DUMMYFUNCTION("IMPORTRANGE(Imports!B1, ""Prospect!A:L"")"),"")</f>
        <v/>
      </c>
      <c r="B1" s="73"/>
      <c r="C1" s="73"/>
      <c r="D1" s="73"/>
      <c r="E1" s="73"/>
      <c r="F1" s="73"/>
      <c r="G1" s="73"/>
      <c r="H1" s="73"/>
      <c r="I1" s="73"/>
      <c r="J1" s="73"/>
    </row>
    <row r="2">
      <c r="A2" s="150" t="str">
        <f>IFERROR(__xludf.DUMMYFUNCTION("""COMPUTED_VALUE"""),"Prospect Schedule")</f>
        <v>Prospect Schedule</v>
      </c>
      <c r="J2" s="151"/>
    </row>
    <row r="3">
      <c r="A3" s="73"/>
      <c r="B3" s="48" t="str">
        <f>IFERROR(__xludf.DUMMYFUNCTION("""COMPUTED_VALUE"""),"Preseason")</f>
        <v>Preseason</v>
      </c>
      <c r="C3" s="76" t="str">
        <f>IFERROR(__xludf.DUMMYFUNCTION("""COMPUTED_VALUE"""),"Each team plays all opponents once, and an additional 3 random opponents")</f>
        <v>Each team plays all opponents once, and an additional 3 random opponents</v>
      </c>
      <c r="I3" s="77" t="str">
        <f>IFERROR(__xludf.DUMMYFUNCTION("""COMPUTED_VALUE"""),"Preseason")</f>
        <v>Preseason</v>
      </c>
      <c r="J3" s="73"/>
    </row>
    <row r="4">
      <c r="A4" s="73"/>
      <c r="B4" s="78" t="str">
        <f>IFERROR(__xludf.DUMMYFUNCTION("""COMPUTED_VALUE"""),"In Conference")</f>
        <v>In Conference</v>
      </c>
      <c r="C4" s="73"/>
      <c r="I4" s="78" t="str">
        <f>IFERROR(__xludf.DUMMYFUNCTION("""COMPUTED_VALUE"""),"In Conference")</f>
        <v>In Conference</v>
      </c>
      <c r="J4" s="73"/>
    </row>
    <row r="5">
      <c r="A5" s="73"/>
      <c r="B5" s="79" t="str">
        <f>IFERROR(__xludf.DUMMYFUNCTION("""COMPUTED_VALUE"""),"Out of Conference")</f>
        <v>Out of Conference</v>
      </c>
      <c r="I5" s="79" t="str">
        <f>IFERROR(__xludf.DUMMYFUNCTION("""COMPUTED_VALUE"""),"Out of Conference")</f>
        <v>Out of Conference</v>
      </c>
      <c r="J5" s="73"/>
    </row>
    <row r="6">
      <c r="A6" s="73"/>
      <c r="B6" s="80" t="str">
        <f>IFERROR(__xludf.DUMMYFUNCTION("""COMPUTED_VALUE"""),"Playoffs")</f>
        <v>Playoffs</v>
      </c>
      <c r="C6" s="81" t="str">
        <f>IFERROR(__xludf.DUMMYFUNCTION("""COMPUTED_VALUE"""),"Blacktips")</f>
        <v>Blacktips</v>
      </c>
      <c r="D6" s="81" t="str">
        <f>IFERROR(__xludf.DUMMYFUNCTION("""COMPUTED_VALUE"""),"Tanuki")</f>
        <v>Tanuki</v>
      </c>
      <c r="E6" s="81" t="str">
        <f>IFERROR(__xludf.DUMMYFUNCTION("""COMPUTED_VALUE"""),"Earth")</f>
        <v>Earth</v>
      </c>
      <c r="F6" s="81" t="str">
        <f>IFERROR(__xludf.DUMMYFUNCTION("""COMPUTED_VALUE"""),"Griffin")</f>
        <v>Griffin</v>
      </c>
      <c r="G6" s="81" t="str">
        <f>IFERROR(__xludf.DUMMYFUNCTION("""COMPUTED_VALUE"""),"Tic Tacs")</f>
        <v>Tic Tacs</v>
      </c>
      <c r="H6" s="81" t="str">
        <f>IFERROR(__xludf.DUMMYFUNCTION("""COMPUTED_VALUE"""),"Principales")</f>
        <v>Principales</v>
      </c>
      <c r="I6" s="80" t="str">
        <f>IFERROR(__xludf.DUMMYFUNCTION("""COMPUTED_VALUE"""),"Playoffs")</f>
        <v>Playoffs</v>
      </c>
      <c r="J6" s="73"/>
    </row>
    <row r="7">
      <c r="A7" s="73"/>
      <c r="B7" s="55" t="str">
        <f>IFERROR(__xludf.DUMMYFUNCTION("""COMPUTED_VALUE"""),"Preseason 1")</f>
        <v>Preseason 1</v>
      </c>
      <c r="C7" s="82" t="str">
        <f>IFERROR(__xludf.DUMMYFUNCTION("""COMPUTED_VALUE"""),"Griffin")</f>
        <v>Griffin</v>
      </c>
      <c r="D7" s="83" t="str">
        <f>IFERROR(__xludf.DUMMYFUNCTION("""COMPUTED_VALUE"""),"Tic Tacs")</f>
        <v>Tic Tacs</v>
      </c>
      <c r="E7" s="83" t="str">
        <f>IFERROR(__xludf.DUMMYFUNCTION("""COMPUTED_VALUE"""),"Principales")</f>
        <v>Principales</v>
      </c>
      <c r="F7" s="83" t="str">
        <f>IFERROR(__xludf.DUMMYFUNCTION("""COMPUTED_VALUE"""),"Blacktips")</f>
        <v>Blacktips</v>
      </c>
      <c r="G7" s="83" t="str">
        <f>IFERROR(__xludf.DUMMYFUNCTION("""COMPUTED_VALUE"""),"Tanuki")</f>
        <v>Tanuki</v>
      </c>
      <c r="H7" s="83" t="str">
        <f>IFERROR(__xludf.DUMMYFUNCTION("""COMPUTED_VALUE"""),"Earth")</f>
        <v>Earth</v>
      </c>
      <c r="I7" s="59">
        <f>IFERROR(__xludf.DUMMYFUNCTION("""COMPUTED_VALUE"""),45896.0)</f>
        <v>45896</v>
      </c>
      <c r="J7" s="84"/>
    </row>
    <row r="8">
      <c r="A8" s="73"/>
      <c r="B8" s="55" t="str">
        <f>IFERROR(__xludf.DUMMYFUNCTION("""COMPUTED_VALUE"""),"Preseason 2")</f>
        <v>Preseason 2</v>
      </c>
      <c r="C8" s="82" t="str">
        <f>IFERROR(__xludf.DUMMYFUNCTION("""COMPUTED_VALUE"""),"Hawaiian Pizza")</f>
        <v>Hawaiian Pizza</v>
      </c>
      <c r="D8" s="83" t="str">
        <f>IFERROR(__xludf.DUMMYFUNCTION("""COMPUTED_VALUE"""),"Skeletons")</f>
        <v>Skeletons</v>
      </c>
      <c r="E8" s="83" t="str">
        <f>IFERROR(__xludf.DUMMYFUNCTION("""COMPUTED_VALUE"""),"Piranhas")</f>
        <v>Piranhas</v>
      </c>
      <c r="F8" s="83" t="str">
        <f>IFERROR(__xludf.DUMMYFUNCTION("""COMPUTED_VALUE"""),"Hostile Takeover")</f>
        <v>Hostile Takeover</v>
      </c>
      <c r="G8" s="83" t="str">
        <f>IFERROR(__xludf.DUMMYFUNCTION("""COMPUTED_VALUE"""),"Honey Badgers")</f>
        <v>Honey Badgers</v>
      </c>
      <c r="H8" s="83" t="str">
        <f>IFERROR(__xludf.DUMMYFUNCTION("""COMPUTED_VALUE"""),"Turbulence")</f>
        <v>Turbulence</v>
      </c>
      <c r="I8" s="59">
        <f>IFERROR(__xludf.DUMMYFUNCTION("""COMPUTED_VALUE"""),45903.0)</f>
        <v>45903</v>
      </c>
      <c r="J8" s="84"/>
    </row>
    <row r="9">
      <c r="A9" s="73"/>
      <c r="B9" s="55" t="str">
        <f>IFERROR(__xludf.DUMMYFUNCTION("""COMPUTED_VALUE"""),"Preseason 3")</f>
        <v>Preseason 3</v>
      </c>
      <c r="C9" s="82" t="str">
        <f>IFERROR(__xludf.DUMMYFUNCTION("""COMPUTED_VALUE"""),"Principales")</f>
        <v>Principales</v>
      </c>
      <c r="D9" s="83" t="str">
        <f>IFERROR(__xludf.DUMMYFUNCTION("""COMPUTED_VALUE"""),"Earth")</f>
        <v>Earth</v>
      </c>
      <c r="E9" s="83" t="str">
        <f>IFERROR(__xludf.DUMMYFUNCTION("""COMPUTED_VALUE"""),"Tanuki")</f>
        <v>Tanuki</v>
      </c>
      <c r="F9" s="83" t="str">
        <f>IFERROR(__xludf.DUMMYFUNCTION("""COMPUTED_VALUE"""),"Tic Tacs")</f>
        <v>Tic Tacs</v>
      </c>
      <c r="G9" s="83" t="str">
        <f>IFERROR(__xludf.DUMMYFUNCTION("""COMPUTED_VALUE"""),"Griffin")</f>
        <v>Griffin</v>
      </c>
      <c r="H9" s="83" t="str">
        <f>IFERROR(__xludf.DUMMYFUNCTION("""COMPUTED_VALUE"""),"Blacktips")</f>
        <v>Blacktips</v>
      </c>
      <c r="I9" s="59">
        <f>IFERROR(__xludf.DUMMYFUNCTION("""COMPUTED_VALUE"""),45908.0)</f>
        <v>45908</v>
      </c>
      <c r="J9" s="84"/>
    </row>
    <row r="10">
      <c r="A10" s="73"/>
      <c r="B10" s="55" t="str">
        <f>IFERROR(__xludf.DUMMYFUNCTION("""COMPUTED_VALUE"""),"Match Day 1")</f>
        <v>Match Day 1</v>
      </c>
      <c r="C10" s="85" t="str">
        <f>IFERROR(__xludf.DUMMYFUNCTION("""COMPUTED_VALUE"""),"Honey Badgers")</f>
        <v>Honey Badgers</v>
      </c>
      <c r="D10" s="86" t="str">
        <f>IFERROR(__xludf.DUMMYFUNCTION("""COMPUTED_VALUE"""),"Piranhas")</f>
        <v>Piranhas</v>
      </c>
      <c r="E10" s="86" t="str">
        <f>IFERROR(__xludf.DUMMYFUNCTION("""COMPUTED_VALUE"""),"Hostile Takeover")</f>
        <v>Hostile Takeover</v>
      </c>
      <c r="F10" s="86" t="str">
        <f>IFERROR(__xludf.DUMMYFUNCTION("""COMPUTED_VALUE"""),"Turbulence")</f>
        <v>Turbulence</v>
      </c>
      <c r="G10" s="86" t="str">
        <f>IFERROR(__xludf.DUMMYFUNCTION("""COMPUTED_VALUE"""),"Skeletons")</f>
        <v>Skeletons</v>
      </c>
      <c r="H10" s="86" t="str">
        <f>IFERROR(__xludf.DUMMYFUNCTION("""COMPUTED_VALUE"""),"Hawaiian Pizza")</f>
        <v>Hawaiian Pizza</v>
      </c>
      <c r="I10" s="59">
        <f>IFERROR(__xludf.DUMMYFUNCTION("""COMPUTED_VALUE"""),45910.0)</f>
        <v>45910</v>
      </c>
      <c r="J10" s="84"/>
    </row>
    <row r="11">
      <c r="A11" s="73"/>
      <c r="B11" s="55" t="str">
        <f>IFERROR(__xludf.DUMMYFUNCTION("""COMPUTED_VALUE"""),"Match Day 2")</f>
        <v>Match Day 2</v>
      </c>
      <c r="C11" s="87" t="str">
        <f>IFERROR(__xludf.DUMMYFUNCTION("""COMPUTED_VALUE"""),"Hostile Takeover")</f>
        <v>Hostile Takeover</v>
      </c>
      <c r="D11" s="88" t="str">
        <f>IFERROR(__xludf.DUMMYFUNCTION("""COMPUTED_VALUE"""),"Hawaiian Pizza")</f>
        <v>Hawaiian Pizza</v>
      </c>
      <c r="E11" s="88" t="str">
        <f>IFERROR(__xludf.DUMMYFUNCTION("""COMPUTED_VALUE"""),"Turbulence")</f>
        <v>Turbulence</v>
      </c>
      <c r="F11" s="88" t="str">
        <f>IFERROR(__xludf.DUMMYFUNCTION("""COMPUTED_VALUE"""),"Honey Badgers")</f>
        <v>Honey Badgers</v>
      </c>
      <c r="G11" s="88" t="str">
        <f>IFERROR(__xludf.DUMMYFUNCTION("""COMPUTED_VALUE"""),"Piranhas")</f>
        <v>Piranhas</v>
      </c>
      <c r="H11" s="88" t="str">
        <f>IFERROR(__xludf.DUMMYFUNCTION("""COMPUTED_VALUE"""),"Skeletons")</f>
        <v>Skeletons</v>
      </c>
      <c r="I11" s="59">
        <f>IFERROR(__xludf.DUMMYFUNCTION("""COMPUTED_VALUE"""),45915.0)</f>
        <v>45915</v>
      </c>
      <c r="J11" s="73"/>
    </row>
    <row r="12">
      <c r="A12" s="73"/>
      <c r="B12" s="55" t="str">
        <f>IFERROR(__xludf.DUMMYFUNCTION("""COMPUTED_VALUE"""),"Match Day 3")</f>
        <v>Match Day 3</v>
      </c>
      <c r="C12" s="87" t="str">
        <f>IFERROR(__xludf.DUMMYFUNCTION("""COMPUTED_VALUE"""),"Earth")</f>
        <v>Earth</v>
      </c>
      <c r="D12" s="88" t="str">
        <f>IFERROR(__xludf.DUMMYFUNCTION("""COMPUTED_VALUE"""),"Griffin")</f>
        <v>Griffin</v>
      </c>
      <c r="E12" s="88" t="str">
        <f>IFERROR(__xludf.DUMMYFUNCTION("""COMPUTED_VALUE"""),"Blacktips")</f>
        <v>Blacktips</v>
      </c>
      <c r="F12" s="88" t="str">
        <f>IFERROR(__xludf.DUMMYFUNCTION("""COMPUTED_VALUE"""),"Tanuki")</f>
        <v>Tanuki</v>
      </c>
      <c r="G12" s="88" t="str">
        <f>IFERROR(__xludf.DUMMYFUNCTION("""COMPUTED_VALUE"""),"Principales")</f>
        <v>Principales</v>
      </c>
      <c r="H12" s="88" t="str">
        <f>IFERROR(__xludf.DUMMYFUNCTION("""COMPUTED_VALUE"""),"Tic Tacs")</f>
        <v>Tic Tacs</v>
      </c>
      <c r="I12" s="59">
        <f>IFERROR(__xludf.DUMMYFUNCTION("""COMPUTED_VALUE"""),45917.0)</f>
        <v>45917</v>
      </c>
      <c r="J12" s="73"/>
    </row>
    <row r="13">
      <c r="A13" s="73"/>
      <c r="B13" s="55" t="str">
        <f>IFERROR(__xludf.DUMMYFUNCTION("""COMPUTED_VALUE"""),"Match Day 4")</f>
        <v>Match Day 4</v>
      </c>
      <c r="C13" s="87" t="str">
        <f>IFERROR(__xludf.DUMMYFUNCTION("""COMPUTED_VALUE"""),"Tic Tacs")</f>
        <v>Tic Tacs</v>
      </c>
      <c r="D13" s="88" t="str">
        <f>IFERROR(__xludf.DUMMYFUNCTION("""COMPUTED_VALUE"""),"Principales")</f>
        <v>Principales</v>
      </c>
      <c r="E13" s="88" t="str">
        <f>IFERROR(__xludf.DUMMYFUNCTION("""COMPUTED_VALUE"""),"Griffin")</f>
        <v>Griffin</v>
      </c>
      <c r="F13" s="88" t="str">
        <f>IFERROR(__xludf.DUMMYFUNCTION("""COMPUTED_VALUE"""),"Earth")</f>
        <v>Earth</v>
      </c>
      <c r="G13" s="88" t="str">
        <f>IFERROR(__xludf.DUMMYFUNCTION("""COMPUTED_VALUE"""),"Blacktips")</f>
        <v>Blacktips</v>
      </c>
      <c r="H13" s="88" t="str">
        <f>IFERROR(__xludf.DUMMYFUNCTION("""COMPUTED_VALUE"""),"Tanuki")</f>
        <v>Tanuki</v>
      </c>
      <c r="I13" s="59">
        <f>IFERROR(__xludf.DUMMYFUNCTION("""COMPUTED_VALUE"""),45922.0)</f>
        <v>45922</v>
      </c>
      <c r="J13" s="73"/>
    </row>
    <row r="14">
      <c r="A14" s="73"/>
      <c r="B14" s="55" t="str">
        <f>IFERROR(__xludf.DUMMYFUNCTION("""COMPUTED_VALUE"""),"Match Day 5")</f>
        <v>Match Day 5</v>
      </c>
      <c r="C14" s="87" t="str">
        <f>IFERROR(__xludf.DUMMYFUNCTION("""COMPUTED_VALUE"""),"Skeletons")</f>
        <v>Skeletons</v>
      </c>
      <c r="D14" s="88" t="str">
        <f>IFERROR(__xludf.DUMMYFUNCTION("""COMPUTED_VALUE"""),"Hostile Takeover")</f>
        <v>Hostile Takeover</v>
      </c>
      <c r="E14" s="88" t="str">
        <f>IFERROR(__xludf.DUMMYFUNCTION("""COMPUTED_VALUE"""),"Honey Badgers")</f>
        <v>Honey Badgers</v>
      </c>
      <c r="F14" s="88" t="str">
        <f>IFERROR(__xludf.DUMMYFUNCTION("""COMPUTED_VALUE"""),"Hawaiian Pizza")</f>
        <v>Hawaiian Pizza</v>
      </c>
      <c r="G14" s="88" t="str">
        <f>IFERROR(__xludf.DUMMYFUNCTION("""COMPUTED_VALUE"""),"Turbulence")</f>
        <v>Turbulence</v>
      </c>
      <c r="H14" s="88" t="str">
        <f>IFERROR(__xludf.DUMMYFUNCTION("""COMPUTED_VALUE"""),"Piranhas")</f>
        <v>Piranhas</v>
      </c>
      <c r="I14" s="59">
        <f>IFERROR(__xludf.DUMMYFUNCTION("""COMPUTED_VALUE"""),45924.0)</f>
        <v>45924</v>
      </c>
      <c r="J14" s="73"/>
    </row>
    <row r="15">
      <c r="A15" s="73"/>
      <c r="B15" s="55" t="str">
        <f>IFERROR(__xludf.DUMMYFUNCTION("""COMPUTED_VALUE"""),"Match Day 6")</f>
        <v>Match Day 6</v>
      </c>
      <c r="C15" s="87" t="str">
        <f>IFERROR(__xludf.DUMMYFUNCTION("""COMPUTED_VALUE"""),"Hawaiian Pizza")</f>
        <v>Hawaiian Pizza</v>
      </c>
      <c r="D15" s="88" t="str">
        <f>IFERROR(__xludf.DUMMYFUNCTION("""COMPUTED_VALUE"""),"Skeletons")</f>
        <v>Skeletons</v>
      </c>
      <c r="E15" s="88" t="str">
        <f>IFERROR(__xludf.DUMMYFUNCTION("""COMPUTED_VALUE"""),"Piranhas")</f>
        <v>Piranhas</v>
      </c>
      <c r="F15" s="88" t="str">
        <f>IFERROR(__xludf.DUMMYFUNCTION("""COMPUTED_VALUE"""),"Hostile Takeover")</f>
        <v>Hostile Takeover</v>
      </c>
      <c r="G15" s="88" t="str">
        <f>IFERROR(__xludf.DUMMYFUNCTION("""COMPUTED_VALUE"""),"Honey Badgers")</f>
        <v>Honey Badgers</v>
      </c>
      <c r="H15" s="88" t="str">
        <f>IFERROR(__xludf.DUMMYFUNCTION("""COMPUTED_VALUE"""),"Turbulence")</f>
        <v>Turbulence</v>
      </c>
      <c r="I15" s="59">
        <f>IFERROR(__xludf.DUMMYFUNCTION("""COMPUTED_VALUE"""),45929.0)</f>
        <v>45929</v>
      </c>
      <c r="J15" s="73"/>
    </row>
    <row r="16">
      <c r="A16" s="73"/>
      <c r="B16" s="55" t="str">
        <f>IFERROR(__xludf.DUMMYFUNCTION("""COMPUTED_VALUE"""),"Match Day 7")</f>
        <v>Match Day 7</v>
      </c>
      <c r="C16" s="87" t="str">
        <f>IFERROR(__xludf.DUMMYFUNCTION("""COMPUTED_VALUE"""),"Tanuki")</f>
        <v>Tanuki</v>
      </c>
      <c r="D16" s="88" t="str">
        <f>IFERROR(__xludf.DUMMYFUNCTION("""COMPUTED_VALUE"""),"Blacktips")</f>
        <v>Blacktips</v>
      </c>
      <c r="E16" s="88" t="str">
        <f>IFERROR(__xludf.DUMMYFUNCTION("""COMPUTED_VALUE"""),"Tic Tacs")</f>
        <v>Tic Tacs</v>
      </c>
      <c r="F16" s="88" t="str">
        <f>IFERROR(__xludf.DUMMYFUNCTION("""COMPUTED_VALUE"""),"Principales")</f>
        <v>Principales</v>
      </c>
      <c r="G16" s="88" t="str">
        <f>IFERROR(__xludf.DUMMYFUNCTION("""COMPUTED_VALUE"""),"Earth")</f>
        <v>Earth</v>
      </c>
      <c r="H16" s="88" t="str">
        <f>IFERROR(__xludf.DUMMYFUNCTION("""COMPUTED_VALUE"""),"Griffin")</f>
        <v>Griffin</v>
      </c>
      <c r="I16" s="59">
        <f>IFERROR(__xludf.DUMMYFUNCTION("""COMPUTED_VALUE"""),45931.0)</f>
        <v>45931</v>
      </c>
      <c r="J16" s="73"/>
    </row>
    <row r="17">
      <c r="A17" s="73"/>
      <c r="B17" s="55" t="str">
        <f>IFERROR(__xludf.DUMMYFUNCTION("""COMPUTED_VALUE"""),"Match Day 8")</f>
        <v>Match Day 8</v>
      </c>
      <c r="C17" s="87" t="str">
        <f>IFERROR(__xludf.DUMMYFUNCTION("""COMPUTED_VALUE"""),"Griffin")</f>
        <v>Griffin</v>
      </c>
      <c r="D17" s="88" t="str">
        <f>IFERROR(__xludf.DUMMYFUNCTION("""COMPUTED_VALUE"""),"Tic Tacs")</f>
        <v>Tic Tacs</v>
      </c>
      <c r="E17" s="88" t="str">
        <f>IFERROR(__xludf.DUMMYFUNCTION("""COMPUTED_VALUE"""),"Principales")</f>
        <v>Principales</v>
      </c>
      <c r="F17" s="88" t="str">
        <f>IFERROR(__xludf.DUMMYFUNCTION("""COMPUTED_VALUE"""),"Blacktips")</f>
        <v>Blacktips</v>
      </c>
      <c r="G17" s="88" t="str">
        <f>IFERROR(__xludf.DUMMYFUNCTION("""COMPUTED_VALUE"""),"Tanuki")</f>
        <v>Tanuki</v>
      </c>
      <c r="H17" s="88" t="str">
        <f>IFERROR(__xludf.DUMMYFUNCTION("""COMPUTED_VALUE"""),"Earth")</f>
        <v>Earth</v>
      </c>
      <c r="I17" s="59">
        <f>IFERROR(__xludf.DUMMYFUNCTION("""COMPUTED_VALUE"""),45936.0)</f>
        <v>45936</v>
      </c>
      <c r="J17" s="73"/>
    </row>
    <row r="18">
      <c r="A18" s="73"/>
      <c r="B18" s="67" t="str">
        <f>IFERROR(__xludf.DUMMYFUNCTION("""COMPUTED_VALUE"""),"Match Day 9")</f>
        <v>Match Day 9</v>
      </c>
      <c r="C18" s="87" t="str">
        <f>IFERROR(__xludf.DUMMYFUNCTION("""COMPUTED_VALUE"""),"Principales")</f>
        <v>Principales</v>
      </c>
      <c r="D18" s="88" t="str">
        <f>IFERROR(__xludf.DUMMYFUNCTION("""COMPUTED_VALUE"""),"Earth")</f>
        <v>Earth</v>
      </c>
      <c r="E18" s="88" t="str">
        <f>IFERROR(__xludf.DUMMYFUNCTION("""COMPUTED_VALUE"""),"Tanuki")</f>
        <v>Tanuki</v>
      </c>
      <c r="F18" s="88" t="str">
        <f>IFERROR(__xludf.DUMMYFUNCTION("""COMPUTED_VALUE"""),"Tic Tacs")</f>
        <v>Tic Tacs</v>
      </c>
      <c r="G18" s="88" t="str">
        <f>IFERROR(__xludf.DUMMYFUNCTION("""COMPUTED_VALUE"""),"Griffin")</f>
        <v>Griffin</v>
      </c>
      <c r="H18" s="88" t="str">
        <f>IFERROR(__xludf.DUMMYFUNCTION("""COMPUTED_VALUE"""),"Blacktips")</f>
        <v>Blacktips</v>
      </c>
      <c r="I18" s="59">
        <f>IFERROR(__xludf.DUMMYFUNCTION("""COMPUTED_VALUE"""),45938.0)</f>
        <v>45938</v>
      </c>
      <c r="J18" s="73"/>
    </row>
    <row r="19">
      <c r="A19" s="73"/>
      <c r="B19" s="55" t="str">
        <f>IFERROR(__xludf.DUMMYFUNCTION("""COMPUTED_VALUE"""),"Match Day 10")</f>
        <v>Match Day 10</v>
      </c>
      <c r="C19" s="87" t="str">
        <f>IFERROR(__xludf.DUMMYFUNCTION("""COMPUTED_VALUE"""),"Turbulence")</f>
        <v>Turbulence</v>
      </c>
      <c r="D19" s="88" t="str">
        <f>IFERROR(__xludf.DUMMYFUNCTION("""COMPUTED_VALUE"""),"Honey Badgers")</f>
        <v>Honey Badgers</v>
      </c>
      <c r="E19" s="88" t="str">
        <f>IFERROR(__xludf.DUMMYFUNCTION("""COMPUTED_VALUE"""),"Skeletons")</f>
        <v>Skeletons</v>
      </c>
      <c r="F19" s="88" t="str">
        <f>IFERROR(__xludf.DUMMYFUNCTION("""COMPUTED_VALUE"""),"Piranhas")</f>
        <v>Piranhas</v>
      </c>
      <c r="G19" s="88" t="str">
        <f>IFERROR(__xludf.DUMMYFUNCTION("""COMPUTED_VALUE"""),"Hawaiian Pizza")</f>
        <v>Hawaiian Pizza</v>
      </c>
      <c r="H19" s="88" t="str">
        <f>IFERROR(__xludf.DUMMYFUNCTION("""COMPUTED_VALUE"""),"Hostile Takeover")</f>
        <v>Hostile Takeover</v>
      </c>
      <c r="I19" s="59">
        <f>IFERROR(__xludf.DUMMYFUNCTION("""COMPUTED_VALUE"""),45945.0)</f>
        <v>45945</v>
      </c>
      <c r="J19" s="73"/>
    </row>
    <row r="20">
      <c r="A20" s="73"/>
      <c r="B20" s="55" t="str">
        <f>IFERROR(__xludf.DUMMYFUNCTION("""COMPUTED_VALUE"""),"Match Day 11")</f>
        <v>Match Day 11</v>
      </c>
      <c r="C20" s="87" t="str">
        <f>IFERROR(__xludf.DUMMYFUNCTION("""COMPUTED_VALUE"""),"Piranhas")</f>
        <v>Piranhas</v>
      </c>
      <c r="D20" s="88" t="str">
        <f>IFERROR(__xludf.DUMMYFUNCTION("""COMPUTED_VALUE"""),"Turbulence")</f>
        <v>Turbulence</v>
      </c>
      <c r="E20" s="88" t="str">
        <f>IFERROR(__xludf.DUMMYFUNCTION("""COMPUTED_VALUE"""),"Hawaiian Pizza")</f>
        <v>Hawaiian Pizza</v>
      </c>
      <c r="F20" s="88" t="str">
        <f>IFERROR(__xludf.DUMMYFUNCTION("""COMPUTED_VALUE"""),"Skeletons")</f>
        <v>Skeletons</v>
      </c>
      <c r="G20" s="88" t="str">
        <f>IFERROR(__xludf.DUMMYFUNCTION("""COMPUTED_VALUE"""),"Hostile Takeover")</f>
        <v>Hostile Takeover</v>
      </c>
      <c r="H20" s="88" t="str">
        <f>IFERROR(__xludf.DUMMYFUNCTION("""COMPUTED_VALUE"""),"Honey Badgers")</f>
        <v>Honey Badgers</v>
      </c>
      <c r="I20" s="59">
        <f>IFERROR(__xludf.DUMMYFUNCTION("""COMPUTED_VALUE"""),45950.0)</f>
        <v>45950</v>
      </c>
      <c r="J20" s="73"/>
    </row>
    <row r="21">
      <c r="A21" s="73"/>
      <c r="B21" s="68" t="str">
        <f>IFERROR(__xludf.DUMMYFUNCTION("""COMPUTED_VALUE"""),"Match Day 12")</f>
        <v>Match Day 12</v>
      </c>
      <c r="C21" s="87" t="str">
        <f>IFERROR(__xludf.DUMMYFUNCTION("""COMPUTED_VALUE"""),"Earth")</f>
        <v>Earth</v>
      </c>
      <c r="D21" s="88" t="str">
        <f>IFERROR(__xludf.DUMMYFUNCTION("""COMPUTED_VALUE"""),"Griffin")</f>
        <v>Griffin</v>
      </c>
      <c r="E21" s="88" t="str">
        <f>IFERROR(__xludf.DUMMYFUNCTION("""COMPUTED_VALUE"""),"Blacktips")</f>
        <v>Blacktips</v>
      </c>
      <c r="F21" s="88" t="str">
        <f>IFERROR(__xludf.DUMMYFUNCTION("""COMPUTED_VALUE"""),"Tanuki")</f>
        <v>Tanuki</v>
      </c>
      <c r="G21" s="88" t="str">
        <f>IFERROR(__xludf.DUMMYFUNCTION("""COMPUTED_VALUE"""),"Principales")</f>
        <v>Principales</v>
      </c>
      <c r="H21" s="88" t="str">
        <f>IFERROR(__xludf.DUMMYFUNCTION("""COMPUTED_VALUE"""),"Tic Tacs")</f>
        <v>Tic Tacs</v>
      </c>
      <c r="I21" s="59">
        <f>IFERROR(__xludf.DUMMYFUNCTION("""COMPUTED_VALUE"""),45952.0)</f>
        <v>45952</v>
      </c>
      <c r="J21" s="73"/>
    </row>
    <row r="22">
      <c r="A22" s="73"/>
      <c r="B22" s="68" t="str">
        <f>IFERROR(__xludf.DUMMYFUNCTION("""COMPUTED_VALUE"""),"Match Day 13")</f>
        <v>Match Day 13</v>
      </c>
      <c r="C22" s="87" t="str">
        <f>IFERROR(__xludf.DUMMYFUNCTION("""COMPUTED_VALUE"""),"Hawaiian Pizza")</f>
        <v>Hawaiian Pizza</v>
      </c>
      <c r="D22" s="88" t="str">
        <f>IFERROR(__xludf.DUMMYFUNCTION("""COMPUTED_VALUE"""),"Skeletons")</f>
        <v>Skeletons</v>
      </c>
      <c r="E22" s="88" t="str">
        <f>IFERROR(__xludf.DUMMYFUNCTION("""COMPUTED_VALUE"""),"Piranhas")</f>
        <v>Piranhas</v>
      </c>
      <c r="F22" s="88" t="str">
        <f>IFERROR(__xludf.DUMMYFUNCTION("""COMPUTED_VALUE"""),"Hostile Takeover")</f>
        <v>Hostile Takeover</v>
      </c>
      <c r="G22" s="88" t="str">
        <f>IFERROR(__xludf.DUMMYFUNCTION("""COMPUTED_VALUE"""),"Honey Badgers")</f>
        <v>Honey Badgers</v>
      </c>
      <c r="H22" s="88" t="str">
        <f>IFERROR(__xludf.DUMMYFUNCTION("""COMPUTED_VALUE"""),"Turbulence")</f>
        <v>Turbulence</v>
      </c>
      <c r="I22" s="59">
        <f>IFERROR(__xludf.DUMMYFUNCTION("""COMPUTED_VALUE"""),45957.0)</f>
        <v>45957</v>
      </c>
      <c r="J22" s="73"/>
    </row>
    <row r="23">
      <c r="A23" s="73"/>
      <c r="B23" s="55" t="str">
        <f>IFERROR(__xludf.DUMMYFUNCTION("""COMPUTED_VALUE"""),"Match Day 14")</f>
        <v>Match Day 14</v>
      </c>
      <c r="C23" s="87" t="str">
        <f>IFERROR(__xludf.DUMMYFUNCTION("""COMPUTED_VALUE"""),"Principales")</f>
        <v>Principales</v>
      </c>
      <c r="D23" s="88" t="str">
        <f>IFERROR(__xludf.DUMMYFUNCTION("""COMPUTED_VALUE"""),"Earth")</f>
        <v>Earth</v>
      </c>
      <c r="E23" s="88" t="str">
        <f>IFERROR(__xludf.DUMMYFUNCTION("""COMPUTED_VALUE"""),"Tanuki")</f>
        <v>Tanuki</v>
      </c>
      <c r="F23" s="88" t="str">
        <f>IFERROR(__xludf.DUMMYFUNCTION("""COMPUTED_VALUE"""),"Tic Tacs")</f>
        <v>Tic Tacs</v>
      </c>
      <c r="G23" s="88" t="str">
        <f>IFERROR(__xludf.DUMMYFUNCTION("""COMPUTED_VALUE"""),"Griffin")</f>
        <v>Griffin</v>
      </c>
      <c r="H23" s="88" t="str">
        <f>IFERROR(__xludf.DUMMYFUNCTION("""COMPUTED_VALUE"""),"Blacktips")</f>
        <v>Blacktips</v>
      </c>
      <c r="I23" s="59">
        <f>IFERROR(__xludf.DUMMYFUNCTION("""COMPUTED_VALUE"""),45959.0)</f>
        <v>45959</v>
      </c>
      <c r="J23" s="73"/>
    </row>
    <row r="24">
      <c r="A24" s="73"/>
      <c r="B24" s="55" t="str">
        <f>IFERROR(__xludf.DUMMYFUNCTION("""COMPUTED_VALUE"""),"Match Day 15")</f>
        <v>Match Day 15</v>
      </c>
      <c r="C24" s="89" t="str">
        <f>IFERROR(__xludf.DUMMYFUNCTION("""COMPUTED_VALUE"""),"Quarterfinals (10:00 PM ET)")</f>
        <v>Quarterfinals (10:00 PM ET)</v>
      </c>
      <c r="D24" s="27"/>
      <c r="E24" s="27"/>
      <c r="F24" s="27"/>
      <c r="G24" s="27"/>
      <c r="H24" s="90"/>
      <c r="I24" s="59">
        <f>IFERROR(__xludf.DUMMYFUNCTION("""COMPUTED_VALUE"""),45964.0)</f>
        <v>45964</v>
      </c>
      <c r="J24" s="73"/>
    </row>
    <row r="25">
      <c r="A25" s="73"/>
      <c r="B25" s="55" t="str">
        <f>IFERROR(__xludf.DUMMYFUNCTION("""COMPUTED_VALUE"""),"Match Day 16")</f>
        <v>Match Day 16</v>
      </c>
      <c r="C25" s="89" t="str">
        <f>IFERROR(__xludf.DUMMYFUNCTION("""COMPUTED_VALUE"""),"Semifinals (10:00 PM ET)")</f>
        <v>Semifinals (10:00 PM ET)</v>
      </c>
      <c r="D25" s="27"/>
      <c r="E25" s="27"/>
      <c r="F25" s="27"/>
      <c r="G25" s="27"/>
      <c r="H25" s="90"/>
      <c r="I25" s="59">
        <f>IFERROR(__xludf.DUMMYFUNCTION("""COMPUTED_VALUE"""),45966.0)</f>
        <v>45966</v>
      </c>
      <c r="J25" s="73"/>
    </row>
    <row r="26">
      <c r="A26" s="73"/>
      <c r="B26" s="55" t="str">
        <f>IFERROR(__xludf.DUMMYFUNCTION("""COMPUTED_VALUE"""),"Match Day 17")</f>
        <v>Match Day 17</v>
      </c>
      <c r="C26" s="91" t="str">
        <f>IFERROR(__xludf.DUMMYFUNCTION("""COMPUTED_VALUE"""),"Finals (9:30PM ET)")</f>
        <v>Finals (9:30PM ET)</v>
      </c>
      <c r="D26" s="19"/>
      <c r="E26" s="19"/>
      <c r="F26" s="19"/>
      <c r="G26" s="19"/>
      <c r="H26" s="92"/>
      <c r="I26" s="59">
        <f>IFERROR(__xludf.DUMMYFUNCTION("""COMPUTED_VALUE"""),45971.0)</f>
        <v>45971</v>
      </c>
      <c r="J26" s="73"/>
    </row>
    <row r="27">
      <c r="A27" s="73"/>
      <c r="B27" s="73"/>
      <c r="C27" s="73"/>
      <c r="D27" s="73"/>
      <c r="E27" s="73"/>
      <c r="F27" s="73"/>
      <c r="G27" s="73"/>
      <c r="H27" s="73"/>
      <c r="I27" s="73"/>
      <c r="J27" s="73"/>
    </row>
    <row r="28">
      <c r="A28" s="73"/>
      <c r="B28" s="48" t="str">
        <f>IFERROR(__xludf.DUMMYFUNCTION("""COMPUTED_VALUE"""),"Preseason")</f>
        <v>Preseason</v>
      </c>
      <c r="C28" s="73"/>
      <c r="D28" s="73"/>
      <c r="E28" s="73"/>
      <c r="F28" s="73"/>
      <c r="G28" s="73"/>
      <c r="H28" s="73"/>
      <c r="I28" s="77" t="str">
        <f>IFERROR(__xludf.DUMMYFUNCTION("""COMPUTED_VALUE"""),"Preseason")</f>
        <v>Preseason</v>
      </c>
      <c r="J28" s="73"/>
    </row>
    <row r="29">
      <c r="A29" s="73"/>
      <c r="B29" s="78" t="str">
        <f>IFERROR(__xludf.DUMMYFUNCTION("""COMPUTED_VALUE"""),"In Conference")</f>
        <v>In Conference</v>
      </c>
      <c r="C29" s="73"/>
      <c r="I29" s="78" t="str">
        <f>IFERROR(__xludf.DUMMYFUNCTION("""COMPUTED_VALUE"""),"In Conference")</f>
        <v>In Conference</v>
      </c>
      <c r="J29" s="73"/>
    </row>
    <row r="30">
      <c r="A30" s="73"/>
      <c r="B30" s="79" t="str">
        <f>IFERROR(__xludf.DUMMYFUNCTION("""COMPUTED_VALUE"""),"Out of Conference")</f>
        <v>Out of Conference</v>
      </c>
      <c r="I30" s="79" t="str">
        <f>IFERROR(__xludf.DUMMYFUNCTION("""COMPUTED_VALUE"""),"Out of Conference")</f>
        <v>Out of Conference</v>
      </c>
      <c r="J30" s="73"/>
    </row>
    <row r="31">
      <c r="A31" s="73"/>
      <c r="B31" s="80" t="str">
        <f>IFERROR(__xludf.DUMMYFUNCTION("""COMPUTED_VALUE"""),"Playoffs")</f>
        <v>Playoffs</v>
      </c>
      <c r="C31" s="81" t="str">
        <f>IFERROR(__xludf.DUMMYFUNCTION("""COMPUTED_VALUE"""),"Hawaiian Pizza")</f>
        <v>Hawaiian Pizza</v>
      </c>
      <c r="D31" s="81" t="str">
        <f>IFERROR(__xludf.DUMMYFUNCTION("""COMPUTED_VALUE"""),"Skeletons")</f>
        <v>Skeletons</v>
      </c>
      <c r="E31" s="81" t="str">
        <f>IFERROR(__xludf.DUMMYFUNCTION("""COMPUTED_VALUE"""),"Turbulence")</f>
        <v>Turbulence</v>
      </c>
      <c r="F31" s="81" t="str">
        <f>IFERROR(__xludf.DUMMYFUNCTION("""COMPUTED_VALUE"""),"Hostile Takeover")</f>
        <v>Hostile Takeover</v>
      </c>
      <c r="G31" s="81" t="str">
        <f>IFERROR(__xludf.DUMMYFUNCTION("""COMPUTED_VALUE"""),"Piranhas")</f>
        <v>Piranhas</v>
      </c>
      <c r="H31" s="81" t="str">
        <f>IFERROR(__xludf.DUMMYFUNCTION("""COMPUTED_VALUE"""),"Honey Badgers")</f>
        <v>Honey Badgers</v>
      </c>
      <c r="I31" s="80" t="str">
        <f>IFERROR(__xludf.DUMMYFUNCTION("""COMPUTED_VALUE"""),"Playoffs")</f>
        <v>Playoffs</v>
      </c>
      <c r="J31" s="73"/>
    </row>
    <row r="32">
      <c r="A32" s="73"/>
      <c r="B32" s="55" t="str">
        <f>IFERROR(__xludf.DUMMYFUNCTION("""COMPUTED_VALUE"""),"Preseason 1")</f>
        <v>Preseason 1</v>
      </c>
      <c r="C32" s="82" t="str">
        <f>IFERROR(__xludf.DUMMYFUNCTION("""COMPUTED_VALUE"""),"Hostile Takeover")</f>
        <v>Hostile Takeover</v>
      </c>
      <c r="D32" s="83" t="str">
        <f>IFERROR(__xludf.DUMMYFUNCTION("""COMPUTED_VALUE"""),"Piranhas")</f>
        <v>Piranhas</v>
      </c>
      <c r="E32" s="83" t="str">
        <f>IFERROR(__xludf.DUMMYFUNCTION("""COMPUTED_VALUE"""),"Honey Badgers")</f>
        <v>Honey Badgers</v>
      </c>
      <c r="F32" s="83" t="str">
        <f>IFERROR(__xludf.DUMMYFUNCTION("""COMPUTED_VALUE"""),"Hawaiian Pizza")</f>
        <v>Hawaiian Pizza</v>
      </c>
      <c r="G32" s="83" t="str">
        <f>IFERROR(__xludf.DUMMYFUNCTION("""COMPUTED_VALUE"""),"Skeletons")</f>
        <v>Skeletons</v>
      </c>
      <c r="H32" s="83" t="str">
        <f>IFERROR(__xludf.DUMMYFUNCTION("""COMPUTED_VALUE"""),"Turbulence")</f>
        <v>Turbulence</v>
      </c>
      <c r="I32" s="59">
        <f>IFERROR(__xludf.DUMMYFUNCTION("""COMPUTED_VALUE"""),45896.0)</f>
        <v>45896</v>
      </c>
      <c r="J32" s="84"/>
    </row>
    <row r="33">
      <c r="A33" s="73"/>
      <c r="B33" s="55" t="str">
        <f>IFERROR(__xludf.DUMMYFUNCTION("""COMPUTED_VALUE"""),"Preseason 2")</f>
        <v>Preseason 2</v>
      </c>
      <c r="C33" s="82" t="str">
        <f>IFERROR(__xludf.DUMMYFUNCTION("""COMPUTED_VALUE"""),"Blacktips")</f>
        <v>Blacktips</v>
      </c>
      <c r="D33" s="83" t="str">
        <f>IFERROR(__xludf.DUMMYFUNCTION("""COMPUTED_VALUE"""),"Tanuki")</f>
        <v>Tanuki</v>
      </c>
      <c r="E33" s="83" t="str">
        <f>IFERROR(__xludf.DUMMYFUNCTION("""COMPUTED_VALUE"""),"Principales")</f>
        <v>Principales</v>
      </c>
      <c r="F33" s="83" t="str">
        <f>IFERROR(__xludf.DUMMYFUNCTION("""COMPUTED_VALUE"""),"Griffin")</f>
        <v>Griffin</v>
      </c>
      <c r="G33" s="83" t="str">
        <f>IFERROR(__xludf.DUMMYFUNCTION("""COMPUTED_VALUE"""),"Earth")</f>
        <v>Earth</v>
      </c>
      <c r="H33" s="83" t="str">
        <f>IFERROR(__xludf.DUMMYFUNCTION("""COMPUTED_VALUE"""),"Tic Tacs")</f>
        <v>Tic Tacs</v>
      </c>
      <c r="I33" s="59">
        <f>IFERROR(__xludf.DUMMYFUNCTION("""COMPUTED_VALUE"""),45903.0)</f>
        <v>45903</v>
      </c>
      <c r="J33" s="84"/>
    </row>
    <row r="34">
      <c r="A34" s="73"/>
      <c r="B34" s="55" t="str">
        <f>IFERROR(__xludf.DUMMYFUNCTION("""COMPUTED_VALUE"""),"Preseason 3")</f>
        <v>Preseason 3</v>
      </c>
      <c r="C34" s="82" t="str">
        <f>IFERROR(__xludf.DUMMYFUNCTION("""COMPUTED_VALUE"""),"Honey Badgers")</f>
        <v>Honey Badgers</v>
      </c>
      <c r="D34" s="83" t="str">
        <f>IFERROR(__xludf.DUMMYFUNCTION("""COMPUTED_VALUE"""),"Turbulence")</f>
        <v>Turbulence</v>
      </c>
      <c r="E34" s="83" t="str">
        <f>IFERROR(__xludf.DUMMYFUNCTION("""COMPUTED_VALUE"""),"Skeletons")</f>
        <v>Skeletons</v>
      </c>
      <c r="F34" s="83" t="str">
        <f>IFERROR(__xludf.DUMMYFUNCTION("""COMPUTED_VALUE"""),"Piranhas")</f>
        <v>Piranhas</v>
      </c>
      <c r="G34" s="83" t="str">
        <f>IFERROR(__xludf.DUMMYFUNCTION("""COMPUTED_VALUE"""),"Hostile Takeover")</f>
        <v>Hostile Takeover</v>
      </c>
      <c r="H34" s="83" t="str">
        <f>IFERROR(__xludf.DUMMYFUNCTION("""COMPUTED_VALUE"""),"Hawaiian Pizza")</f>
        <v>Hawaiian Pizza</v>
      </c>
      <c r="I34" s="59">
        <f>IFERROR(__xludf.DUMMYFUNCTION("""COMPUTED_VALUE"""),45908.0)</f>
        <v>45908</v>
      </c>
      <c r="J34" s="84"/>
    </row>
    <row r="35">
      <c r="A35" s="73"/>
      <c r="B35" s="55" t="str">
        <f>IFERROR(__xludf.DUMMYFUNCTION("""COMPUTED_VALUE"""),"Match Day 1")</f>
        <v>Match Day 1</v>
      </c>
      <c r="C35" s="85" t="str">
        <f>IFERROR(__xludf.DUMMYFUNCTION("""COMPUTED_VALUE"""),"Principales")</f>
        <v>Principales</v>
      </c>
      <c r="D35" s="86" t="str">
        <f>IFERROR(__xludf.DUMMYFUNCTION("""COMPUTED_VALUE"""),"Tic Tacs")</f>
        <v>Tic Tacs</v>
      </c>
      <c r="E35" s="86" t="str">
        <f>IFERROR(__xludf.DUMMYFUNCTION("""COMPUTED_VALUE"""),"Griffin")</f>
        <v>Griffin</v>
      </c>
      <c r="F35" s="86" t="str">
        <f>IFERROR(__xludf.DUMMYFUNCTION("""COMPUTED_VALUE"""),"Earth")</f>
        <v>Earth</v>
      </c>
      <c r="G35" s="86" t="str">
        <f>IFERROR(__xludf.DUMMYFUNCTION("""COMPUTED_VALUE"""),"Tanuki")</f>
        <v>Tanuki</v>
      </c>
      <c r="H35" s="86" t="str">
        <f>IFERROR(__xludf.DUMMYFUNCTION("""COMPUTED_VALUE"""),"Blacktips")</f>
        <v>Blacktips</v>
      </c>
      <c r="I35" s="59">
        <f>IFERROR(__xludf.DUMMYFUNCTION("""COMPUTED_VALUE"""),45910.0)</f>
        <v>45910</v>
      </c>
      <c r="J35" s="84"/>
    </row>
    <row r="36">
      <c r="A36" s="73"/>
      <c r="B36" s="55" t="str">
        <f>IFERROR(__xludf.DUMMYFUNCTION("""COMPUTED_VALUE"""),"Match Day 2")</f>
        <v>Match Day 2</v>
      </c>
      <c r="C36" s="87" t="str">
        <f>IFERROR(__xludf.DUMMYFUNCTION("""COMPUTED_VALUE"""),"Tanuki")</f>
        <v>Tanuki</v>
      </c>
      <c r="D36" s="88" t="str">
        <f>IFERROR(__xludf.DUMMYFUNCTION("""COMPUTED_VALUE"""),"Principales")</f>
        <v>Principales</v>
      </c>
      <c r="E36" s="88" t="str">
        <f>IFERROR(__xludf.DUMMYFUNCTION("""COMPUTED_VALUE"""),"Earth")</f>
        <v>Earth</v>
      </c>
      <c r="F36" s="88" t="str">
        <f>IFERROR(__xludf.DUMMYFUNCTION("""COMPUTED_VALUE"""),"Blacktips")</f>
        <v>Blacktips</v>
      </c>
      <c r="G36" s="88" t="str">
        <f>IFERROR(__xludf.DUMMYFUNCTION("""COMPUTED_VALUE"""),"Tic Tacs")</f>
        <v>Tic Tacs</v>
      </c>
      <c r="H36" s="88" t="str">
        <f>IFERROR(__xludf.DUMMYFUNCTION("""COMPUTED_VALUE"""),"Griffin")</f>
        <v>Griffin</v>
      </c>
      <c r="I36" s="59">
        <f>IFERROR(__xludf.DUMMYFUNCTION("""COMPUTED_VALUE"""),45915.0)</f>
        <v>45915</v>
      </c>
      <c r="J36" s="73"/>
    </row>
    <row r="37">
      <c r="A37" s="73"/>
      <c r="B37" s="55" t="str">
        <f>IFERROR(__xludf.DUMMYFUNCTION("""COMPUTED_VALUE"""),"Match Day 3")</f>
        <v>Match Day 3</v>
      </c>
      <c r="C37" s="87" t="str">
        <f>IFERROR(__xludf.DUMMYFUNCTION("""COMPUTED_VALUE"""),"Turbulence")</f>
        <v>Turbulence</v>
      </c>
      <c r="D37" s="88" t="str">
        <f>IFERROR(__xludf.DUMMYFUNCTION("""COMPUTED_VALUE"""),"Hostile Takeover")</f>
        <v>Hostile Takeover</v>
      </c>
      <c r="E37" s="88" t="str">
        <f>IFERROR(__xludf.DUMMYFUNCTION("""COMPUTED_VALUE"""),"Hawaiian Pizza")</f>
        <v>Hawaiian Pizza</v>
      </c>
      <c r="F37" s="88" t="str">
        <f>IFERROR(__xludf.DUMMYFUNCTION("""COMPUTED_VALUE"""),"Skeletons")</f>
        <v>Skeletons</v>
      </c>
      <c r="G37" s="88" t="str">
        <f>IFERROR(__xludf.DUMMYFUNCTION("""COMPUTED_VALUE"""),"Honey Badgers")</f>
        <v>Honey Badgers</v>
      </c>
      <c r="H37" s="88" t="str">
        <f>IFERROR(__xludf.DUMMYFUNCTION("""COMPUTED_VALUE"""),"Piranhas")</f>
        <v>Piranhas</v>
      </c>
      <c r="I37" s="59">
        <f>IFERROR(__xludf.DUMMYFUNCTION("""COMPUTED_VALUE"""),45917.0)</f>
        <v>45917</v>
      </c>
      <c r="J37" s="73"/>
    </row>
    <row r="38">
      <c r="A38" s="73"/>
      <c r="B38" s="55" t="str">
        <f>IFERROR(__xludf.DUMMYFUNCTION("""COMPUTED_VALUE"""),"Match Day 4")</f>
        <v>Match Day 4</v>
      </c>
      <c r="C38" s="87" t="str">
        <f>IFERROR(__xludf.DUMMYFUNCTION("""COMPUTED_VALUE"""),"Piranhas")</f>
        <v>Piranhas</v>
      </c>
      <c r="D38" s="88" t="str">
        <f>IFERROR(__xludf.DUMMYFUNCTION("""COMPUTED_VALUE"""),"Honey Badgers")</f>
        <v>Honey Badgers</v>
      </c>
      <c r="E38" s="88" t="str">
        <f>IFERROR(__xludf.DUMMYFUNCTION("""COMPUTED_VALUE"""),"Hostile Takeover")</f>
        <v>Hostile Takeover</v>
      </c>
      <c r="F38" s="88" t="str">
        <f>IFERROR(__xludf.DUMMYFUNCTION("""COMPUTED_VALUE"""),"Turbulence")</f>
        <v>Turbulence</v>
      </c>
      <c r="G38" s="88" t="str">
        <f>IFERROR(__xludf.DUMMYFUNCTION("""COMPUTED_VALUE"""),"Hawaiian Pizza")</f>
        <v>Hawaiian Pizza</v>
      </c>
      <c r="H38" s="88" t="str">
        <f>IFERROR(__xludf.DUMMYFUNCTION("""COMPUTED_VALUE"""),"Skeletons")</f>
        <v>Skeletons</v>
      </c>
      <c r="I38" s="59">
        <f>IFERROR(__xludf.DUMMYFUNCTION("""COMPUTED_VALUE"""),45922.0)</f>
        <v>45922</v>
      </c>
      <c r="J38" s="73"/>
    </row>
    <row r="39">
      <c r="A39" s="73"/>
      <c r="B39" s="55" t="str">
        <f>IFERROR(__xludf.DUMMYFUNCTION("""COMPUTED_VALUE"""),"Match Day 5")</f>
        <v>Match Day 5</v>
      </c>
      <c r="C39" s="87" t="str">
        <f>IFERROR(__xludf.DUMMYFUNCTION("""COMPUTED_VALUE"""),"Griffin")</f>
        <v>Griffin</v>
      </c>
      <c r="D39" s="88" t="str">
        <f>IFERROR(__xludf.DUMMYFUNCTION("""COMPUTED_VALUE"""),"Blacktips")</f>
        <v>Blacktips</v>
      </c>
      <c r="E39" s="88" t="str">
        <f>IFERROR(__xludf.DUMMYFUNCTION("""COMPUTED_VALUE"""),"Tic Tacs")</f>
        <v>Tic Tacs</v>
      </c>
      <c r="F39" s="88" t="str">
        <f>IFERROR(__xludf.DUMMYFUNCTION("""COMPUTED_VALUE"""),"Tanuki")</f>
        <v>Tanuki</v>
      </c>
      <c r="G39" s="88" t="str">
        <f>IFERROR(__xludf.DUMMYFUNCTION("""COMPUTED_VALUE"""),"Principales")</f>
        <v>Principales</v>
      </c>
      <c r="H39" s="88" t="str">
        <f>IFERROR(__xludf.DUMMYFUNCTION("""COMPUTED_VALUE"""),"Earth")</f>
        <v>Earth</v>
      </c>
      <c r="I39" s="59">
        <f>IFERROR(__xludf.DUMMYFUNCTION("""COMPUTED_VALUE"""),45924.0)</f>
        <v>45924</v>
      </c>
      <c r="J39" s="73"/>
    </row>
    <row r="40">
      <c r="A40" s="73"/>
      <c r="B40" s="55" t="str">
        <f>IFERROR(__xludf.DUMMYFUNCTION("""COMPUTED_VALUE"""),"Match Day 6")</f>
        <v>Match Day 6</v>
      </c>
      <c r="C40" s="87" t="str">
        <f>IFERROR(__xludf.DUMMYFUNCTION("""COMPUTED_VALUE"""),"Blacktips")</f>
        <v>Blacktips</v>
      </c>
      <c r="D40" s="88" t="str">
        <f>IFERROR(__xludf.DUMMYFUNCTION("""COMPUTED_VALUE"""),"Tanuki")</f>
        <v>Tanuki</v>
      </c>
      <c r="E40" s="88" t="str">
        <f>IFERROR(__xludf.DUMMYFUNCTION("""COMPUTED_VALUE"""),"Principales")</f>
        <v>Principales</v>
      </c>
      <c r="F40" s="88" t="str">
        <f>IFERROR(__xludf.DUMMYFUNCTION("""COMPUTED_VALUE"""),"Griffin")</f>
        <v>Griffin</v>
      </c>
      <c r="G40" s="88" t="str">
        <f>IFERROR(__xludf.DUMMYFUNCTION("""COMPUTED_VALUE"""),"Earth")</f>
        <v>Earth</v>
      </c>
      <c r="H40" s="88" t="str">
        <f>IFERROR(__xludf.DUMMYFUNCTION("""COMPUTED_VALUE"""),"Tic Tacs")</f>
        <v>Tic Tacs</v>
      </c>
      <c r="I40" s="59">
        <f>IFERROR(__xludf.DUMMYFUNCTION("""COMPUTED_VALUE"""),45929.0)</f>
        <v>45929</v>
      </c>
      <c r="J40" s="73"/>
    </row>
    <row r="41">
      <c r="A41" s="73"/>
      <c r="B41" s="55" t="str">
        <f>IFERROR(__xludf.DUMMYFUNCTION("""COMPUTED_VALUE"""),"Match Day 7")</f>
        <v>Match Day 7</v>
      </c>
      <c r="C41" s="87" t="str">
        <f>IFERROR(__xludf.DUMMYFUNCTION("""COMPUTED_VALUE"""),"Skeletons")</f>
        <v>Skeletons</v>
      </c>
      <c r="D41" s="88" t="str">
        <f>IFERROR(__xludf.DUMMYFUNCTION("""COMPUTED_VALUE"""),"Hawaiian Pizza")</f>
        <v>Hawaiian Pizza</v>
      </c>
      <c r="E41" s="88" t="str">
        <f>IFERROR(__xludf.DUMMYFUNCTION("""COMPUTED_VALUE"""),"Piranhas")</f>
        <v>Piranhas</v>
      </c>
      <c r="F41" s="88" t="str">
        <f>IFERROR(__xludf.DUMMYFUNCTION("""COMPUTED_VALUE"""),"Honey Badgers")</f>
        <v>Honey Badgers</v>
      </c>
      <c r="G41" s="88" t="str">
        <f>IFERROR(__xludf.DUMMYFUNCTION("""COMPUTED_VALUE"""),"Turbulence")</f>
        <v>Turbulence</v>
      </c>
      <c r="H41" s="88" t="str">
        <f>IFERROR(__xludf.DUMMYFUNCTION("""COMPUTED_VALUE"""),"Hostile Takeover")</f>
        <v>Hostile Takeover</v>
      </c>
      <c r="I41" s="59">
        <f>IFERROR(__xludf.DUMMYFUNCTION("""COMPUTED_VALUE"""),45931.0)</f>
        <v>45931</v>
      </c>
      <c r="J41" s="73"/>
    </row>
    <row r="42">
      <c r="A42" s="73"/>
      <c r="B42" s="55" t="str">
        <f>IFERROR(__xludf.DUMMYFUNCTION("""COMPUTED_VALUE"""),"Match Day 8")</f>
        <v>Match Day 8</v>
      </c>
      <c r="C42" s="87" t="str">
        <f>IFERROR(__xludf.DUMMYFUNCTION("""COMPUTED_VALUE"""),"Hostile Takeover")</f>
        <v>Hostile Takeover</v>
      </c>
      <c r="D42" s="88" t="str">
        <f>IFERROR(__xludf.DUMMYFUNCTION("""COMPUTED_VALUE"""),"Piranhas")</f>
        <v>Piranhas</v>
      </c>
      <c r="E42" s="88" t="str">
        <f>IFERROR(__xludf.DUMMYFUNCTION("""COMPUTED_VALUE"""),"Honey Badgers")</f>
        <v>Honey Badgers</v>
      </c>
      <c r="F42" s="88" t="str">
        <f>IFERROR(__xludf.DUMMYFUNCTION("""COMPUTED_VALUE"""),"Hawaiian Pizza")</f>
        <v>Hawaiian Pizza</v>
      </c>
      <c r="G42" s="88" t="str">
        <f>IFERROR(__xludf.DUMMYFUNCTION("""COMPUTED_VALUE"""),"Skeletons")</f>
        <v>Skeletons</v>
      </c>
      <c r="H42" s="88" t="str">
        <f>IFERROR(__xludf.DUMMYFUNCTION("""COMPUTED_VALUE"""),"Turbulence")</f>
        <v>Turbulence</v>
      </c>
      <c r="I42" s="59">
        <f>IFERROR(__xludf.DUMMYFUNCTION("""COMPUTED_VALUE"""),45936.0)</f>
        <v>45936</v>
      </c>
      <c r="J42" s="73"/>
    </row>
    <row r="43">
      <c r="A43" s="73"/>
      <c r="B43" s="67" t="str">
        <f>IFERROR(__xludf.DUMMYFUNCTION("""COMPUTED_VALUE"""),"Match Day 9")</f>
        <v>Match Day 9</v>
      </c>
      <c r="C43" s="87" t="str">
        <f>IFERROR(__xludf.DUMMYFUNCTION("""COMPUTED_VALUE"""),"Honey Badgers")</f>
        <v>Honey Badgers</v>
      </c>
      <c r="D43" s="88" t="str">
        <f>IFERROR(__xludf.DUMMYFUNCTION("""COMPUTED_VALUE"""),"Turbulence")</f>
        <v>Turbulence</v>
      </c>
      <c r="E43" s="88" t="str">
        <f>IFERROR(__xludf.DUMMYFUNCTION("""COMPUTED_VALUE"""),"Skeletons")</f>
        <v>Skeletons</v>
      </c>
      <c r="F43" s="88" t="str">
        <f>IFERROR(__xludf.DUMMYFUNCTION("""COMPUTED_VALUE"""),"Piranhas")</f>
        <v>Piranhas</v>
      </c>
      <c r="G43" s="88" t="str">
        <f>IFERROR(__xludf.DUMMYFUNCTION("""COMPUTED_VALUE"""),"Hostile Takeover")</f>
        <v>Hostile Takeover</v>
      </c>
      <c r="H43" s="88" t="str">
        <f>IFERROR(__xludf.DUMMYFUNCTION("""COMPUTED_VALUE"""),"Hawaiian Pizza")</f>
        <v>Hawaiian Pizza</v>
      </c>
      <c r="I43" s="59">
        <f>IFERROR(__xludf.DUMMYFUNCTION("""COMPUTED_VALUE"""),45938.0)</f>
        <v>45938</v>
      </c>
      <c r="J43" s="73"/>
    </row>
    <row r="44">
      <c r="A44" s="73"/>
      <c r="B44" s="55" t="str">
        <f>IFERROR(__xludf.DUMMYFUNCTION("""COMPUTED_VALUE"""),"Match Day 10")</f>
        <v>Match Day 10</v>
      </c>
      <c r="C44" s="87" t="str">
        <f>IFERROR(__xludf.DUMMYFUNCTION("""COMPUTED_VALUE"""),"Tic Tacs")</f>
        <v>Tic Tacs</v>
      </c>
      <c r="D44" s="88" t="str">
        <f>IFERROR(__xludf.DUMMYFUNCTION("""COMPUTED_VALUE"""),"Earth")</f>
        <v>Earth</v>
      </c>
      <c r="E44" s="88" t="str">
        <f>IFERROR(__xludf.DUMMYFUNCTION("""COMPUTED_VALUE"""),"Blacktips")</f>
        <v>Blacktips</v>
      </c>
      <c r="F44" s="88" t="str">
        <f>IFERROR(__xludf.DUMMYFUNCTION("""COMPUTED_VALUE"""),"Principales")</f>
        <v>Principales</v>
      </c>
      <c r="G44" s="88" t="str">
        <f>IFERROR(__xludf.DUMMYFUNCTION("""COMPUTED_VALUE"""),"Griffin")</f>
        <v>Griffin</v>
      </c>
      <c r="H44" s="88" t="str">
        <f>IFERROR(__xludf.DUMMYFUNCTION("""COMPUTED_VALUE"""),"Tanuki")</f>
        <v>Tanuki</v>
      </c>
      <c r="I44" s="59">
        <f>IFERROR(__xludf.DUMMYFUNCTION("""COMPUTED_VALUE"""),45945.0)</f>
        <v>45945</v>
      </c>
      <c r="J44" s="73"/>
    </row>
    <row r="45">
      <c r="A45" s="73"/>
      <c r="B45" s="55" t="str">
        <f>IFERROR(__xludf.DUMMYFUNCTION("""COMPUTED_VALUE"""),"Match Day 11")</f>
        <v>Match Day 11</v>
      </c>
      <c r="C45" s="87" t="str">
        <f>IFERROR(__xludf.DUMMYFUNCTION("""COMPUTED_VALUE"""),"Earth")</f>
        <v>Earth</v>
      </c>
      <c r="D45" s="88" t="str">
        <f>IFERROR(__xludf.DUMMYFUNCTION("""COMPUTED_VALUE"""),"Griffin")</f>
        <v>Griffin</v>
      </c>
      <c r="E45" s="88" t="str">
        <f>IFERROR(__xludf.DUMMYFUNCTION("""COMPUTED_VALUE"""),"Tanuki")</f>
        <v>Tanuki</v>
      </c>
      <c r="F45" s="88" t="str">
        <f>IFERROR(__xludf.DUMMYFUNCTION("""COMPUTED_VALUE"""),"Tic Tacs")</f>
        <v>Tic Tacs</v>
      </c>
      <c r="G45" s="88" t="str">
        <f>IFERROR(__xludf.DUMMYFUNCTION("""COMPUTED_VALUE"""),"Blacktips")</f>
        <v>Blacktips</v>
      </c>
      <c r="H45" s="88" t="str">
        <f>IFERROR(__xludf.DUMMYFUNCTION("""COMPUTED_VALUE"""),"Principales")</f>
        <v>Principales</v>
      </c>
      <c r="I45" s="59">
        <f>IFERROR(__xludf.DUMMYFUNCTION("""COMPUTED_VALUE"""),45950.0)</f>
        <v>45950</v>
      </c>
      <c r="J45" s="73"/>
    </row>
    <row r="46">
      <c r="A46" s="73"/>
      <c r="B46" s="68" t="str">
        <f>IFERROR(__xludf.DUMMYFUNCTION("""COMPUTED_VALUE"""),"Match Day 12")</f>
        <v>Match Day 12</v>
      </c>
      <c r="C46" s="87" t="str">
        <f>IFERROR(__xludf.DUMMYFUNCTION("""COMPUTED_VALUE"""),"Turbulence")</f>
        <v>Turbulence</v>
      </c>
      <c r="D46" s="88" t="str">
        <f>IFERROR(__xludf.DUMMYFUNCTION("""COMPUTED_VALUE"""),"Hostile Takeover")</f>
        <v>Hostile Takeover</v>
      </c>
      <c r="E46" s="88" t="str">
        <f>IFERROR(__xludf.DUMMYFUNCTION("""COMPUTED_VALUE"""),"Hawaiian Pizza")</f>
        <v>Hawaiian Pizza</v>
      </c>
      <c r="F46" s="88" t="str">
        <f>IFERROR(__xludf.DUMMYFUNCTION("""COMPUTED_VALUE"""),"Skeletons")</f>
        <v>Skeletons</v>
      </c>
      <c r="G46" s="88" t="str">
        <f>IFERROR(__xludf.DUMMYFUNCTION("""COMPUTED_VALUE"""),"Honey Badgers")</f>
        <v>Honey Badgers</v>
      </c>
      <c r="H46" s="88" t="str">
        <f>IFERROR(__xludf.DUMMYFUNCTION("""COMPUTED_VALUE"""),"Piranhas")</f>
        <v>Piranhas</v>
      </c>
      <c r="I46" s="59">
        <f>IFERROR(__xludf.DUMMYFUNCTION("""COMPUTED_VALUE"""),45952.0)</f>
        <v>45952</v>
      </c>
      <c r="J46" s="73"/>
    </row>
    <row r="47">
      <c r="A47" s="73"/>
      <c r="B47" s="68" t="str">
        <f>IFERROR(__xludf.DUMMYFUNCTION("""COMPUTED_VALUE"""),"Match Day 13")</f>
        <v>Match Day 13</v>
      </c>
      <c r="C47" s="87" t="str">
        <f>IFERROR(__xludf.DUMMYFUNCTION("""COMPUTED_VALUE"""),"Blacktips")</f>
        <v>Blacktips</v>
      </c>
      <c r="D47" s="88" t="str">
        <f>IFERROR(__xludf.DUMMYFUNCTION("""COMPUTED_VALUE"""),"Tanuki")</f>
        <v>Tanuki</v>
      </c>
      <c r="E47" s="88" t="str">
        <f>IFERROR(__xludf.DUMMYFUNCTION("""COMPUTED_VALUE"""),"Principales")</f>
        <v>Principales</v>
      </c>
      <c r="F47" s="88" t="str">
        <f>IFERROR(__xludf.DUMMYFUNCTION("""COMPUTED_VALUE"""),"Griffin")</f>
        <v>Griffin</v>
      </c>
      <c r="G47" s="88" t="str">
        <f>IFERROR(__xludf.DUMMYFUNCTION("""COMPUTED_VALUE"""),"Earth")</f>
        <v>Earth</v>
      </c>
      <c r="H47" s="88" t="str">
        <f>IFERROR(__xludf.DUMMYFUNCTION("""COMPUTED_VALUE"""),"Tic Tacs")</f>
        <v>Tic Tacs</v>
      </c>
      <c r="I47" s="59">
        <f>IFERROR(__xludf.DUMMYFUNCTION("""COMPUTED_VALUE"""),45957.0)</f>
        <v>45957</v>
      </c>
      <c r="J47" s="73"/>
    </row>
    <row r="48">
      <c r="A48" s="73"/>
      <c r="B48" s="55" t="str">
        <f>IFERROR(__xludf.DUMMYFUNCTION("""COMPUTED_VALUE"""),"Match Day 14")</f>
        <v>Match Day 14</v>
      </c>
      <c r="C48" s="87" t="str">
        <f>IFERROR(__xludf.DUMMYFUNCTION("""COMPUTED_VALUE"""),"Honey Badgers")</f>
        <v>Honey Badgers</v>
      </c>
      <c r="D48" s="88" t="str">
        <f>IFERROR(__xludf.DUMMYFUNCTION("""COMPUTED_VALUE"""),"Turbulence")</f>
        <v>Turbulence</v>
      </c>
      <c r="E48" s="88" t="str">
        <f>IFERROR(__xludf.DUMMYFUNCTION("""COMPUTED_VALUE"""),"Skeletons")</f>
        <v>Skeletons</v>
      </c>
      <c r="F48" s="88" t="str">
        <f>IFERROR(__xludf.DUMMYFUNCTION("""COMPUTED_VALUE"""),"Piranhas")</f>
        <v>Piranhas</v>
      </c>
      <c r="G48" s="88" t="str">
        <f>IFERROR(__xludf.DUMMYFUNCTION("""COMPUTED_VALUE"""),"Hostile Takeover")</f>
        <v>Hostile Takeover</v>
      </c>
      <c r="H48" s="88" t="str">
        <f>IFERROR(__xludf.DUMMYFUNCTION("""COMPUTED_VALUE"""),"Hawaiian Pizza")</f>
        <v>Hawaiian Pizza</v>
      </c>
      <c r="I48" s="59">
        <f>IFERROR(__xludf.DUMMYFUNCTION("""COMPUTED_VALUE"""),45959.0)</f>
        <v>45959</v>
      </c>
      <c r="J48" s="73"/>
    </row>
    <row r="49">
      <c r="A49" s="73"/>
      <c r="B49" s="55" t="str">
        <f>IFERROR(__xludf.DUMMYFUNCTION("""COMPUTED_VALUE"""),"Match Day 15")</f>
        <v>Match Day 15</v>
      </c>
      <c r="C49" s="89" t="str">
        <f>IFERROR(__xludf.DUMMYFUNCTION("""COMPUTED_VALUE"""),"Quarterfinals (10:00 PM ET)")</f>
        <v>Quarterfinals (10:00 PM ET)</v>
      </c>
      <c r="D49" s="27"/>
      <c r="E49" s="27"/>
      <c r="F49" s="27"/>
      <c r="G49" s="27"/>
      <c r="H49" s="90"/>
      <c r="I49" s="59">
        <f>IFERROR(__xludf.DUMMYFUNCTION("""COMPUTED_VALUE"""),45964.0)</f>
        <v>45964</v>
      </c>
      <c r="J49" s="73"/>
    </row>
    <row r="50">
      <c r="A50" s="73"/>
      <c r="B50" s="55" t="str">
        <f>IFERROR(__xludf.DUMMYFUNCTION("""COMPUTED_VALUE"""),"Match Day 16")</f>
        <v>Match Day 16</v>
      </c>
      <c r="C50" s="89" t="str">
        <f>IFERROR(__xludf.DUMMYFUNCTION("""COMPUTED_VALUE"""),"Semifinals (10:00 PM ET)")</f>
        <v>Semifinals (10:00 PM ET)</v>
      </c>
      <c r="D50" s="27"/>
      <c r="E50" s="27"/>
      <c r="F50" s="27"/>
      <c r="G50" s="27"/>
      <c r="H50" s="90"/>
      <c r="I50" s="59">
        <f>IFERROR(__xludf.DUMMYFUNCTION("""COMPUTED_VALUE"""),45966.0)</f>
        <v>45966</v>
      </c>
      <c r="J50" s="73"/>
    </row>
    <row r="51">
      <c r="A51" s="73"/>
      <c r="B51" s="55" t="str">
        <f>IFERROR(__xludf.DUMMYFUNCTION("""COMPUTED_VALUE"""),"Match Day 17")</f>
        <v>Match Day 17</v>
      </c>
      <c r="C51" s="91" t="str">
        <f>IFERROR(__xludf.DUMMYFUNCTION("""COMPUTED_VALUE"""),"Finals (9:30PM ET)")</f>
        <v>Finals (9:30PM ET)</v>
      </c>
      <c r="D51" s="19"/>
      <c r="E51" s="19"/>
      <c r="F51" s="19"/>
      <c r="G51" s="19"/>
      <c r="H51" s="92"/>
      <c r="I51" s="59">
        <f>IFERROR(__xludf.DUMMYFUNCTION("""COMPUTED_VALUE"""),45971.0)</f>
        <v>45971</v>
      </c>
      <c r="J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</row>
  </sheetData>
  <mergeCells count="10">
    <mergeCell ref="C49:H49"/>
    <mergeCell ref="C50:H50"/>
    <mergeCell ref="C51:H51"/>
    <mergeCell ref="A2:I2"/>
    <mergeCell ref="C3:H3"/>
    <mergeCell ref="C4:H5"/>
    <mergeCell ref="C24:H24"/>
    <mergeCell ref="C25:H25"/>
    <mergeCell ref="C26:H26"/>
    <mergeCell ref="C29:H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4125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3" max="8" width="15.13"/>
    <col customWidth="1" min="9" max="9" width="3.88"/>
  </cols>
  <sheetData>
    <row r="1">
      <c r="A1" s="4" t="str">
        <f>IFERROR(__xludf.DUMMYFUNCTION("IMPORTRANGE(Imports!B1, ""Contender!A:L"")"),"#REF!")</f>
        <v>#REF!</v>
      </c>
      <c r="B1" s="4"/>
      <c r="C1" s="4"/>
      <c r="D1" s="4"/>
      <c r="E1" s="4"/>
      <c r="F1" s="4"/>
      <c r="G1" s="4"/>
      <c r="H1" s="4"/>
      <c r="I1" s="4"/>
    </row>
    <row r="2">
      <c r="A2" s="152"/>
    </row>
    <row r="3">
      <c r="A3" s="4"/>
      <c r="B3" s="48"/>
      <c r="C3" s="153"/>
      <c r="H3" s="48"/>
      <c r="I3" s="43"/>
    </row>
    <row r="4">
      <c r="A4" s="4"/>
      <c r="B4" s="49"/>
      <c r="C4" s="154"/>
      <c r="H4" s="155"/>
      <c r="I4" s="43"/>
    </row>
    <row r="5">
      <c r="A5" s="4"/>
      <c r="B5" s="156"/>
      <c r="H5" s="156"/>
      <c r="I5" s="4"/>
    </row>
    <row r="6">
      <c r="A6" s="4"/>
      <c r="B6" s="52"/>
      <c r="C6" s="157"/>
      <c r="D6" s="158"/>
      <c r="E6" s="158"/>
      <c r="F6" s="158"/>
      <c r="G6" s="157"/>
      <c r="H6" s="52"/>
      <c r="I6" s="4"/>
    </row>
    <row r="7">
      <c r="A7" s="43"/>
      <c r="B7" s="55"/>
      <c r="C7" s="159"/>
      <c r="D7" s="159"/>
      <c r="E7" s="160"/>
      <c r="F7" s="159"/>
      <c r="G7" s="159"/>
      <c r="H7" s="109"/>
      <c r="I7" s="43"/>
    </row>
    <row r="8">
      <c r="A8" s="43"/>
      <c r="B8" s="55"/>
      <c r="C8" s="159"/>
      <c r="D8" s="159"/>
      <c r="E8" s="159"/>
      <c r="F8" s="159"/>
      <c r="G8" s="160"/>
      <c r="H8" s="109"/>
      <c r="I8" s="43"/>
    </row>
    <row r="9">
      <c r="A9" s="43"/>
      <c r="B9" s="55"/>
      <c r="C9" s="160"/>
      <c r="D9" s="160"/>
      <c r="E9" s="159"/>
      <c r="F9" s="159"/>
      <c r="G9" s="160"/>
      <c r="H9" s="109"/>
      <c r="I9" s="43"/>
    </row>
    <row r="10">
      <c r="A10" s="4"/>
      <c r="B10" s="55"/>
      <c r="C10" s="161"/>
      <c r="D10" s="85"/>
      <c r="E10" s="85"/>
      <c r="F10" s="162"/>
      <c r="G10" s="161"/>
      <c r="H10" s="109"/>
      <c r="I10" s="43"/>
    </row>
    <row r="11">
      <c r="A11" s="4"/>
      <c r="B11" s="55"/>
      <c r="C11" s="161"/>
      <c r="D11" s="161"/>
      <c r="E11" s="85"/>
      <c r="F11" s="161"/>
      <c r="G11" s="163"/>
      <c r="H11" s="109"/>
      <c r="I11" s="43"/>
    </row>
    <row r="12">
      <c r="A12" s="4"/>
      <c r="B12" s="55"/>
      <c r="C12" s="161"/>
      <c r="D12" s="85"/>
      <c r="E12" s="163"/>
      <c r="F12" s="85"/>
      <c r="G12" s="161"/>
      <c r="H12" s="109"/>
      <c r="I12" s="43"/>
    </row>
    <row r="13">
      <c r="A13" s="4"/>
      <c r="B13" s="55"/>
      <c r="C13" s="85"/>
      <c r="D13" s="163"/>
      <c r="E13" s="161"/>
      <c r="F13" s="161"/>
      <c r="G13" s="85"/>
      <c r="H13" s="109"/>
      <c r="I13" s="43"/>
    </row>
    <row r="14">
      <c r="A14" s="4"/>
      <c r="B14" s="55"/>
      <c r="C14" s="163"/>
      <c r="D14" s="161"/>
      <c r="E14" s="161"/>
      <c r="F14" s="85"/>
      <c r="G14" s="161"/>
      <c r="H14" s="59"/>
      <c r="I14" s="43"/>
    </row>
    <row r="15">
      <c r="A15" s="4"/>
      <c r="B15" s="55"/>
      <c r="C15" s="163"/>
      <c r="D15" s="163"/>
      <c r="E15" s="163"/>
      <c r="F15" s="163"/>
      <c r="G15" s="162"/>
      <c r="H15" s="59"/>
      <c r="I15" s="43"/>
    </row>
    <row r="16">
      <c r="A16" s="4"/>
      <c r="B16" s="55"/>
      <c r="C16" s="162"/>
      <c r="D16" s="163"/>
      <c r="E16" s="163"/>
      <c r="F16" s="163"/>
      <c r="G16" s="163"/>
      <c r="H16" s="59"/>
      <c r="I16" s="43"/>
    </row>
    <row r="17">
      <c r="A17" s="4"/>
      <c r="B17" s="55"/>
      <c r="C17" s="163"/>
      <c r="D17" s="163"/>
      <c r="E17" s="162"/>
      <c r="F17" s="163"/>
      <c r="G17" s="163"/>
      <c r="H17" s="59"/>
      <c r="I17" s="43"/>
    </row>
    <row r="18">
      <c r="A18" s="4"/>
      <c r="B18" s="67"/>
      <c r="C18" s="163"/>
      <c r="D18" s="161"/>
      <c r="E18" s="161"/>
      <c r="F18" s="85"/>
      <c r="G18" s="161"/>
      <c r="H18" s="59"/>
      <c r="I18" s="43"/>
    </row>
    <row r="19">
      <c r="A19" s="4"/>
      <c r="B19" s="55"/>
      <c r="C19" s="85"/>
      <c r="D19" s="162"/>
      <c r="E19" s="161"/>
      <c r="F19" s="161"/>
      <c r="G19" s="85"/>
      <c r="H19" s="59"/>
      <c r="I19" s="43"/>
    </row>
    <row r="20">
      <c r="A20" s="4"/>
      <c r="B20" s="55"/>
      <c r="C20" s="161"/>
      <c r="D20" s="85"/>
      <c r="E20" s="163"/>
      <c r="F20" s="85"/>
      <c r="G20" s="161"/>
      <c r="H20" s="59"/>
      <c r="I20" s="43"/>
    </row>
    <row r="21">
      <c r="A21" s="4"/>
      <c r="B21" s="68"/>
      <c r="C21" s="161"/>
      <c r="D21" s="85"/>
      <c r="E21" s="85"/>
      <c r="F21" s="163"/>
      <c r="G21" s="161"/>
      <c r="H21" s="59"/>
      <c r="I21" s="43"/>
    </row>
    <row r="22">
      <c r="A22" s="4"/>
      <c r="B22" s="68"/>
      <c r="C22" s="161"/>
      <c r="D22" s="161"/>
      <c r="E22" s="85"/>
      <c r="F22" s="161"/>
      <c r="G22" s="163"/>
      <c r="H22" s="59"/>
      <c r="I22" s="43"/>
    </row>
    <row r="23">
      <c r="A23" s="4"/>
      <c r="B23" s="55"/>
      <c r="C23" s="89"/>
      <c r="D23" s="27"/>
      <c r="E23" s="27"/>
      <c r="F23" s="27"/>
      <c r="G23" s="90"/>
      <c r="H23" s="59"/>
      <c r="I23" s="43"/>
    </row>
    <row r="24">
      <c r="A24" s="4"/>
      <c r="B24" s="55"/>
      <c r="C24" s="89"/>
      <c r="D24" s="27"/>
      <c r="E24" s="27"/>
      <c r="F24" s="27"/>
      <c r="G24" s="90"/>
      <c r="H24" s="59"/>
      <c r="I24" s="43"/>
    </row>
    <row r="25">
      <c r="A25" s="4"/>
      <c r="B25" s="68"/>
      <c r="C25" s="164"/>
      <c r="D25" s="27"/>
      <c r="E25" s="27"/>
      <c r="F25" s="27"/>
      <c r="G25" s="90"/>
      <c r="H25" s="59"/>
      <c r="I25" s="4"/>
    </row>
    <row r="26">
      <c r="A26" s="4"/>
      <c r="B26" s="4"/>
      <c r="C26" s="4"/>
      <c r="D26" s="4"/>
      <c r="E26" s="4"/>
      <c r="F26" s="4"/>
      <c r="G26" s="4"/>
      <c r="H26" s="72"/>
      <c r="I26" s="4"/>
    </row>
    <row r="27">
      <c r="A27" s="4"/>
      <c r="B27" s="165"/>
      <c r="C27" s="4"/>
      <c r="D27" s="4"/>
      <c r="E27" s="4"/>
      <c r="F27" s="4"/>
      <c r="G27" s="4"/>
      <c r="H27" s="165"/>
      <c r="I27" s="4"/>
    </row>
    <row r="28">
      <c r="A28" s="4"/>
      <c r="B28" s="49"/>
      <c r="C28" s="166"/>
      <c r="H28" s="49"/>
      <c r="I28" s="4"/>
    </row>
    <row r="29">
      <c r="A29" s="4"/>
      <c r="B29" s="156"/>
      <c r="H29" s="156"/>
      <c r="I29" s="4"/>
    </row>
    <row r="30">
      <c r="A30" s="4"/>
      <c r="B30" s="52"/>
      <c r="C30" s="158"/>
      <c r="D30" s="158"/>
      <c r="E30" s="158"/>
      <c r="F30" s="158"/>
      <c r="G30" s="158"/>
      <c r="H30" s="167"/>
      <c r="I30" s="4"/>
    </row>
    <row r="31">
      <c r="A31" s="4"/>
      <c r="B31" s="68"/>
      <c r="C31" s="159"/>
      <c r="D31" s="159"/>
      <c r="E31" s="159"/>
      <c r="F31" s="159"/>
      <c r="G31" s="159"/>
      <c r="H31" s="109"/>
      <c r="I31" s="4"/>
    </row>
    <row r="32">
      <c r="A32" s="4"/>
      <c r="B32" s="68"/>
      <c r="C32" s="159"/>
      <c r="D32" s="159"/>
      <c r="E32" s="159"/>
      <c r="F32" s="159"/>
      <c r="G32" s="159"/>
      <c r="H32" s="109"/>
      <c r="I32" s="4"/>
    </row>
    <row r="33">
      <c r="A33" s="4"/>
      <c r="B33" s="68"/>
      <c r="C33" s="159"/>
      <c r="D33" s="159"/>
      <c r="E33" s="159"/>
      <c r="F33" s="159"/>
      <c r="G33" s="159"/>
      <c r="H33" s="109"/>
      <c r="I33" s="4"/>
    </row>
    <row r="34">
      <c r="A34" s="4"/>
      <c r="B34" s="68"/>
      <c r="C34" s="161"/>
      <c r="D34" s="161"/>
      <c r="E34" s="161"/>
      <c r="F34" s="163"/>
      <c r="G34" s="161"/>
      <c r="H34" s="109"/>
      <c r="I34" s="4"/>
    </row>
    <row r="35">
      <c r="A35" s="4"/>
      <c r="B35" s="68"/>
      <c r="C35" s="161"/>
      <c r="D35" s="161"/>
      <c r="E35" s="161"/>
      <c r="F35" s="161"/>
      <c r="G35" s="163"/>
      <c r="H35" s="109"/>
      <c r="I35" s="4"/>
    </row>
    <row r="36">
      <c r="A36" s="4"/>
      <c r="B36" s="68"/>
      <c r="C36" s="161"/>
      <c r="D36" s="161"/>
      <c r="E36" s="163"/>
      <c r="F36" s="161"/>
      <c r="G36" s="161"/>
      <c r="H36" s="109"/>
      <c r="I36" s="4"/>
    </row>
    <row r="37">
      <c r="A37" s="4"/>
      <c r="B37" s="68"/>
      <c r="C37" s="161"/>
      <c r="D37" s="163"/>
      <c r="E37" s="161"/>
      <c r="F37" s="161"/>
      <c r="G37" s="161"/>
      <c r="H37" s="109"/>
      <c r="I37" s="4"/>
    </row>
    <row r="38">
      <c r="A38" s="4"/>
      <c r="B38" s="68"/>
      <c r="C38" s="163"/>
      <c r="D38" s="161"/>
      <c r="E38" s="161"/>
      <c r="F38" s="161"/>
      <c r="G38" s="161"/>
      <c r="H38" s="59"/>
      <c r="I38" s="4"/>
    </row>
    <row r="39">
      <c r="A39" s="4"/>
      <c r="B39" s="68"/>
      <c r="C39" s="163"/>
      <c r="D39" s="163"/>
      <c r="E39" s="168"/>
      <c r="F39" s="168"/>
      <c r="G39" s="163"/>
      <c r="H39" s="59"/>
      <c r="I39" s="4"/>
    </row>
    <row r="40">
      <c r="A40" s="4"/>
      <c r="B40" s="68"/>
      <c r="C40" s="163"/>
      <c r="D40" s="163"/>
      <c r="E40" s="163"/>
      <c r="F40" s="163"/>
      <c r="G40" s="163"/>
      <c r="H40" s="59"/>
      <c r="I40" s="4"/>
    </row>
    <row r="41">
      <c r="A41" s="4"/>
      <c r="B41" s="68"/>
      <c r="C41" s="163"/>
      <c r="D41" s="168"/>
      <c r="E41" s="163"/>
      <c r="F41" s="163"/>
      <c r="G41" s="163"/>
      <c r="H41" s="59"/>
      <c r="I41" s="4"/>
    </row>
    <row r="42">
      <c r="A42" s="4"/>
      <c r="B42" s="68"/>
      <c r="C42" s="161"/>
      <c r="D42" s="163"/>
      <c r="E42" s="161"/>
      <c r="F42" s="161"/>
      <c r="G42" s="161"/>
      <c r="H42" s="59"/>
      <c r="I42" s="4"/>
    </row>
    <row r="43">
      <c r="A43" s="4"/>
      <c r="B43" s="68"/>
      <c r="C43" s="161"/>
      <c r="D43" s="161"/>
      <c r="E43" s="161"/>
      <c r="F43" s="163"/>
      <c r="G43" s="161"/>
      <c r="H43" s="59"/>
      <c r="I43" s="4"/>
    </row>
    <row r="44">
      <c r="A44" s="4"/>
      <c r="B44" s="68"/>
      <c r="C44" s="161"/>
      <c r="D44" s="161"/>
      <c r="E44" s="161"/>
      <c r="F44" s="161"/>
      <c r="G44" s="163"/>
      <c r="H44" s="59"/>
      <c r="I44" s="4"/>
    </row>
    <row r="45">
      <c r="A45" s="4"/>
      <c r="B45" s="68"/>
      <c r="C45" s="161"/>
      <c r="D45" s="161"/>
      <c r="E45" s="163"/>
      <c r="F45" s="161"/>
      <c r="G45" s="161"/>
      <c r="H45" s="59"/>
      <c r="I45" s="4"/>
    </row>
    <row r="46">
      <c r="A46" s="4"/>
      <c r="B46" s="68"/>
      <c r="C46" s="168"/>
      <c r="D46" s="161"/>
      <c r="E46" s="169"/>
      <c r="F46" s="161"/>
      <c r="G46" s="161"/>
      <c r="H46" s="59"/>
      <c r="I46" s="4"/>
    </row>
    <row r="47">
      <c r="A47" s="4"/>
      <c r="B47" s="68"/>
      <c r="C47" s="164"/>
      <c r="D47" s="27"/>
      <c r="E47" s="27"/>
      <c r="F47" s="27"/>
      <c r="G47" s="90"/>
      <c r="H47" s="59"/>
      <c r="I47" s="4"/>
    </row>
    <row r="48">
      <c r="A48" s="4"/>
      <c r="B48" s="68"/>
      <c r="C48" s="164"/>
      <c r="D48" s="27"/>
      <c r="E48" s="27"/>
      <c r="F48" s="27"/>
      <c r="G48" s="90"/>
      <c r="H48" s="59"/>
      <c r="I48" s="4"/>
    </row>
    <row r="49">
      <c r="A49" s="4"/>
      <c r="B49" s="68"/>
      <c r="C49" s="164"/>
      <c r="D49" s="27"/>
      <c r="E49" s="27"/>
      <c r="F49" s="27"/>
      <c r="G49" s="90"/>
      <c r="H49" s="59"/>
      <c r="I49" s="4"/>
    </row>
    <row r="50">
      <c r="A50" s="4"/>
      <c r="B50" s="4"/>
      <c r="C50" s="4"/>
      <c r="D50" s="4"/>
      <c r="E50" s="4"/>
      <c r="F50" s="4"/>
      <c r="G50" s="4"/>
      <c r="H50" s="4"/>
      <c r="I50" s="4"/>
    </row>
  </sheetData>
  <mergeCells count="10">
    <mergeCell ref="C47:G47"/>
    <mergeCell ref="C48:G48"/>
    <mergeCell ref="C49:G49"/>
    <mergeCell ref="A2:I2"/>
    <mergeCell ref="C3:G3"/>
    <mergeCell ref="C4:G5"/>
    <mergeCell ref="C23:G23"/>
    <mergeCell ref="C24:G24"/>
    <mergeCell ref="C25:G25"/>
    <mergeCell ref="C28:G2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13"/>
    <col customWidth="1" min="3" max="10" width="15.13"/>
    <col customWidth="1" min="11" max="11" width="12.63"/>
    <col customWidth="1" min="12" max="12" width="2.5"/>
  </cols>
  <sheetData>
    <row r="1">
      <c r="A1" s="4" t="str">
        <f>IFERROR(__xludf.DUMMYFUNCTION("IMPORTRANGE(Imports!B1, ""Amateur!A:K"")"),"")</f>
        <v/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43"/>
      <c r="B2" s="43"/>
      <c r="C2" s="170" t="str">
        <f>IFERROR(__xludf.DUMMYFUNCTION("""COMPUTED_VALUE"""),"Amateur Schedule")</f>
        <v>Amateur Schedule</v>
      </c>
      <c r="K2" s="43"/>
      <c r="L2" s="43"/>
    </row>
    <row r="3">
      <c r="A3" s="4"/>
      <c r="B3" s="48" t="str">
        <f>IFERROR(__xludf.DUMMYFUNCTION("""COMPUTED_VALUE"""),"Preseason")</f>
        <v>Preseason</v>
      </c>
      <c r="C3" s="43"/>
      <c r="D3" s="43"/>
      <c r="E3" s="43"/>
      <c r="F3" s="43"/>
      <c r="G3" s="43"/>
      <c r="H3" s="43"/>
      <c r="I3" s="43"/>
      <c r="J3" s="43"/>
      <c r="K3" s="48" t="str">
        <f>IFERROR(__xludf.DUMMYFUNCTION("""COMPUTED_VALUE"""),"Preseason")</f>
        <v>Preseason</v>
      </c>
      <c r="L3" s="43"/>
    </row>
    <row r="4">
      <c r="A4" s="4"/>
      <c r="B4" s="49" t="str">
        <f>IFERROR(__xludf.DUMMYFUNCTION("""COMPUTED_VALUE"""),"First Matchup")</f>
        <v>First Matchup</v>
      </c>
      <c r="C4" s="153" t="str">
        <f>IFERROR(__xludf.DUMMYFUNCTION("""COMPUTED_VALUE"""),"Each team plays all opponents twice")</f>
        <v>Each team plays all opponents twice</v>
      </c>
      <c r="K4" s="155" t="str">
        <f>IFERROR(__xludf.DUMMYFUNCTION("""COMPUTED_VALUE"""),"First Matchup")</f>
        <v>First Matchup</v>
      </c>
      <c r="L4" s="43"/>
    </row>
    <row r="5">
      <c r="A5" s="4"/>
      <c r="B5" s="51" t="str">
        <f>IFERROR(__xludf.DUMMYFUNCTION("""COMPUTED_VALUE"""),"Second Matchup")</f>
        <v>Second Matchup</v>
      </c>
      <c r="C5" s="43"/>
      <c r="D5" s="43"/>
      <c r="E5" s="43"/>
      <c r="F5" s="43"/>
      <c r="G5" s="43"/>
      <c r="H5" s="4"/>
      <c r="I5" s="4"/>
      <c r="J5" s="4"/>
      <c r="K5" s="51" t="str">
        <f>IFERROR(__xludf.DUMMYFUNCTION("""COMPUTED_VALUE"""),"Second Matchup")</f>
        <v>Second Matchup</v>
      </c>
      <c r="L5" s="4"/>
    </row>
    <row r="6">
      <c r="A6" s="4"/>
      <c r="B6" s="52" t="str">
        <f>IFERROR(__xludf.DUMMYFUNCTION("""COMPUTED_VALUE"""),"Playoffs")</f>
        <v>Playoffs</v>
      </c>
      <c r="C6" s="53" t="str">
        <f>IFERROR(__xludf.DUMMYFUNCTION("""COMPUTED_VALUE"""),"Kappa")</f>
        <v>Kappa</v>
      </c>
      <c r="D6" s="53" t="str">
        <f>IFERROR(__xludf.DUMMYFUNCTION("""COMPUTED_VALUE"""),"Chimera")</f>
        <v>Chimera</v>
      </c>
      <c r="E6" s="53" t="str">
        <f>IFERROR(__xludf.DUMMYFUNCTION("""COMPUTED_VALUE"""),"Winter Fresh")</f>
        <v>Winter Fresh</v>
      </c>
      <c r="F6" s="53" t="str">
        <f>IFERROR(__xludf.DUMMYFUNCTION("""COMPUTED_VALUE"""),"Legionaries")</f>
        <v>Legionaries</v>
      </c>
      <c r="G6" s="53" t="str">
        <f>IFERROR(__xludf.DUMMYFUNCTION("""COMPUTED_VALUE"""),"Garlic Knots")</f>
        <v>Garlic Knots</v>
      </c>
      <c r="H6" s="53" t="str">
        <f>IFERROR(__xludf.DUMMYFUNCTION("""COMPUTED_VALUE"""),"Bombers")</f>
        <v>Bombers</v>
      </c>
      <c r="I6" s="53" t="str">
        <f>IFERROR(__xludf.DUMMYFUNCTION("""COMPUTED_VALUE"""),"HR Violation")</f>
        <v>HR Violation</v>
      </c>
      <c r="J6" s="53" t="str">
        <f>IFERROR(__xludf.DUMMYFUNCTION("""COMPUTED_VALUE"""),"Electric Eels")</f>
        <v>Electric Eels</v>
      </c>
      <c r="K6" s="52" t="str">
        <f>IFERROR(__xludf.DUMMYFUNCTION("""COMPUTED_VALUE"""),"Playoffs")</f>
        <v>Playoffs</v>
      </c>
      <c r="L6" s="4"/>
    </row>
    <row r="7">
      <c r="A7" s="106" t="str">
        <f>IFERROR(__xludf.DUMMYFUNCTION("""COMPUTED_VALUE"""),"MD3")</f>
        <v>MD3</v>
      </c>
      <c r="B7" s="55" t="str">
        <f>IFERROR(__xludf.DUMMYFUNCTION("""COMPUTED_VALUE"""),"Preseason 1")</f>
        <v>Preseason 1</v>
      </c>
      <c r="C7" s="56" t="str">
        <f>IFERROR(__xludf.DUMMYFUNCTION("""COMPUTED_VALUE"""),"Legionaries")</f>
        <v>Legionaries</v>
      </c>
      <c r="D7" s="56" t="str">
        <f>IFERROR(__xludf.DUMMYFUNCTION("""COMPUTED_VALUE"""),"Garlic Knots")</f>
        <v>Garlic Knots</v>
      </c>
      <c r="E7" s="56" t="str">
        <f>IFERROR(__xludf.DUMMYFUNCTION("""COMPUTED_VALUE"""),"Electric Eels")</f>
        <v>Electric Eels</v>
      </c>
      <c r="F7" s="56" t="str">
        <f>IFERROR(__xludf.DUMMYFUNCTION("""COMPUTED_VALUE"""),"Kappa")</f>
        <v>Kappa</v>
      </c>
      <c r="G7" s="56" t="str">
        <f>IFERROR(__xludf.DUMMYFUNCTION("""COMPUTED_VALUE"""),"Chimera")</f>
        <v>Chimera</v>
      </c>
      <c r="H7" s="57" t="str">
        <f>IFERROR(__xludf.DUMMYFUNCTION("""COMPUTED_VALUE"""),"HR Violation")</f>
        <v>HR Violation</v>
      </c>
      <c r="I7" s="56" t="str">
        <f>IFERROR(__xludf.DUMMYFUNCTION("""COMPUTED_VALUE"""),"Bombers")</f>
        <v>Bombers</v>
      </c>
      <c r="J7" s="56" t="str">
        <f>IFERROR(__xludf.DUMMYFUNCTION("""COMPUTED_VALUE"""),"Winter Fresh")</f>
        <v>Winter Fresh</v>
      </c>
      <c r="K7" s="59">
        <f>IFERROR(__xludf.DUMMYFUNCTION("""COMPUTED_VALUE"""),45896.0)</f>
        <v>45896</v>
      </c>
      <c r="L7" s="43"/>
    </row>
    <row r="8">
      <c r="A8" s="106" t="str">
        <f>IFERROR(__xludf.DUMMYFUNCTION("""COMPUTED_VALUE"""),"MD5")</f>
        <v>MD5</v>
      </c>
      <c r="B8" s="55" t="str">
        <f>IFERROR(__xludf.DUMMYFUNCTION("""COMPUTED_VALUE"""),"Preseason 2")</f>
        <v>Preseason 2</v>
      </c>
      <c r="C8" s="56" t="str">
        <f>IFERROR(__xludf.DUMMYFUNCTION("""COMPUTED_VALUE"""),"Bombers")</f>
        <v>Bombers</v>
      </c>
      <c r="D8" s="56" t="str">
        <f>IFERROR(__xludf.DUMMYFUNCTION("""COMPUTED_VALUE"""),"Winter Fresh")</f>
        <v>Winter Fresh</v>
      </c>
      <c r="E8" s="56" t="str">
        <f>IFERROR(__xludf.DUMMYFUNCTION("""COMPUTED_VALUE"""),"Chimera")</f>
        <v>Chimera</v>
      </c>
      <c r="F8" s="56" t="str">
        <f>IFERROR(__xludf.DUMMYFUNCTION("""COMPUTED_VALUE"""),"HR Violation")</f>
        <v>HR Violation</v>
      </c>
      <c r="G8" s="56" t="str">
        <f>IFERROR(__xludf.DUMMYFUNCTION("""COMPUTED_VALUE"""),"Electric Eels")</f>
        <v>Electric Eels</v>
      </c>
      <c r="H8" s="57" t="str">
        <f>IFERROR(__xludf.DUMMYFUNCTION("""COMPUTED_VALUE"""),"Kappa")</f>
        <v>Kappa</v>
      </c>
      <c r="I8" s="56" t="str">
        <f>IFERROR(__xludf.DUMMYFUNCTION("""COMPUTED_VALUE"""),"Legionaries")</f>
        <v>Legionaries</v>
      </c>
      <c r="J8" s="56" t="str">
        <f>IFERROR(__xludf.DUMMYFUNCTION("""COMPUTED_VALUE"""),"Garlic Knots")</f>
        <v>Garlic Knots</v>
      </c>
      <c r="K8" s="59">
        <f>IFERROR(__xludf.DUMMYFUNCTION("""COMPUTED_VALUE"""),45903.0)</f>
        <v>45903</v>
      </c>
      <c r="L8" s="43"/>
    </row>
    <row r="9">
      <c r="A9" s="106" t="str">
        <f>IFERROR(__xludf.DUMMYFUNCTION("""COMPUTED_VALUE"""),"MD7")</f>
        <v>MD7</v>
      </c>
      <c r="B9" s="55" t="str">
        <f>IFERROR(__xludf.DUMMYFUNCTION("""COMPUTED_VALUE"""),"Preseason 3")</f>
        <v>Preseason 3</v>
      </c>
      <c r="C9" s="56" t="str">
        <f>IFERROR(__xludf.DUMMYFUNCTION("""COMPUTED_VALUE"""),"Electric Eels")</f>
        <v>Electric Eels</v>
      </c>
      <c r="D9" s="56" t="str">
        <f>IFERROR(__xludf.DUMMYFUNCTION("""COMPUTED_VALUE"""),"HR Violation")</f>
        <v>HR Violation</v>
      </c>
      <c r="E9" s="56" t="str">
        <f>IFERROR(__xludf.DUMMYFUNCTION("""COMPUTED_VALUE"""),"Bombers")</f>
        <v>Bombers</v>
      </c>
      <c r="F9" s="56" t="str">
        <f>IFERROR(__xludf.DUMMYFUNCTION("""COMPUTED_VALUE"""),"Garlic Knots")</f>
        <v>Garlic Knots</v>
      </c>
      <c r="G9" s="56" t="str">
        <f>IFERROR(__xludf.DUMMYFUNCTION("""COMPUTED_VALUE"""),"Legionaries")</f>
        <v>Legionaries</v>
      </c>
      <c r="H9" s="57" t="str">
        <f>IFERROR(__xludf.DUMMYFUNCTION("""COMPUTED_VALUE"""),"Winter Fresh")</f>
        <v>Winter Fresh</v>
      </c>
      <c r="I9" s="56" t="str">
        <f>IFERROR(__xludf.DUMMYFUNCTION("""COMPUTED_VALUE"""),"Chimera")</f>
        <v>Chimera</v>
      </c>
      <c r="J9" s="56" t="str">
        <f>IFERROR(__xludf.DUMMYFUNCTION("""COMPUTED_VALUE"""),"Kappa")</f>
        <v>Kappa</v>
      </c>
      <c r="K9" s="59">
        <f>IFERROR(__xludf.DUMMYFUNCTION("""COMPUTED_VALUE"""),45908.0)</f>
        <v>45908</v>
      </c>
      <c r="L9" s="43"/>
    </row>
    <row r="10">
      <c r="A10" s="4"/>
      <c r="B10" s="55" t="str">
        <f>IFERROR(__xludf.DUMMYFUNCTION("""COMPUTED_VALUE"""),"Match Day 1")</f>
        <v>Match Day 1</v>
      </c>
      <c r="C10" s="60" t="str">
        <f>IFERROR(__xludf.DUMMYFUNCTION("""COMPUTED_VALUE"""),"Chimera")</f>
        <v>Chimera</v>
      </c>
      <c r="D10" s="60" t="str">
        <f>IFERROR(__xludf.DUMMYFUNCTION("""COMPUTED_VALUE"""),"Kappa")</f>
        <v>Kappa</v>
      </c>
      <c r="E10" s="60" t="str">
        <f>IFERROR(__xludf.DUMMYFUNCTION("""COMPUTED_VALUE"""),"Legionaries")</f>
        <v>Legionaries</v>
      </c>
      <c r="F10" s="60" t="str">
        <f>IFERROR(__xludf.DUMMYFUNCTION("""COMPUTED_VALUE"""),"Winter Fresh")</f>
        <v>Winter Fresh</v>
      </c>
      <c r="G10" s="60" t="str">
        <f>IFERROR(__xludf.DUMMYFUNCTION("""COMPUTED_VALUE"""),"Bombers")</f>
        <v>Bombers</v>
      </c>
      <c r="H10" s="61" t="str">
        <f>IFERROR(__xludf.DUMMYFUNCTION("""COMPUTED_VALUE"""),"Garlic Knots")</f>
        <v>Garlic Knots</v>
      </c>
      <c r="I10" s="60" t="str">
        <f>IFERROR(__xludf.DUMMYFUNCTION("""COMPUTED_VALUE"""),"Electric Eels")</f>
        <v>Electric Eels</v>
      </c>
      <c r="J10" s="60" t="str">
        <f>IFERROR(__xludf.DUMMYFUNCTION("""COMPUTED_VALUE"""),"HR Violation")</f>
        <v>HR Violation</v>
      </c>
      <c r="K10" s="59">
        <f>IFERROR(__xludf.DUMMYFUNCTION("""COMPUTED_VALUE"""),45910.0)</f>
        <v>45910</v>
      </c>
      <c r="L10" s="43"/>
    </row>
    <row r="11">
      <c r="A11" s="4"/>
      <c r="B11" s="55" t="str">
        <f>IFERROR(__xludf.DUMMYFUNCTION("""COMPUTED_VALUE"""),"Match Day 2")</f>
        <v>Match Day 2</v>
      </c>
      <c r="C11" s="60" t="str">
        <f>IFERROR(__xludf.DUMMYFUNCTION("""COMPUTED_VALUE"""),"Winter Fresh")</f>
        <v>Winter Fresh</v>
      </c>
      <c r="D11" s="60" t="str">
        <f>IFERROR(__xludf.DUMMYFUNCTION("""COMPUTED_VALUE"""),"Legionaries")</f>
        <v>Legionaries</v>
      </c>
      <c r="E11" s="60" t="str">
        <f>IFERROR(__xludf.DUMMYFUNCTION("""COMPUTED_VALUE"""),"Kappa")</f>
        <v>Kappa</v>
      </c>
      <c r="F11" s="60" t="str">
        <f>IFERROR(__xludf.DUMMYFUNCTION("""COMPUTED_VALUE"""),"Chimera")</f>
        <v>Chimera</v>
      </c>
      <c r="G11" s="60" t="str">
        <f>IFERROR(__xludf.DUMMYFUNCTION("""COMPUTED_VALUE"""),"HR Violation")</f>
        <v>HR Violation</v>
      </c>
      <c r="H11" s="61" t="str">
        <f>IFERROR(__xludf.DUMMYFUNCTION("""COMPUTED_VALUE"""),"Electric Eels")</f>
        <v>Electric Eels</v>
      </c>
      <c r="I11" s="60" t="str">
        <f>IFERROR(__xludf.DUMMYFUNCTION("""COMPUTED_VALUE"""),"Garlic Knots")</f>
        <v>Garlic Knots</v>
      </c>
      <c r="J11" s="60" t="str">
        <f>IFERROR(__xludf.DUMMYFUNCTION("""COMPUTED_VALUE"""),"Bombers")</f>
        <v>Bombers</v>
      </c>
      <c r="K11" s="59">
        <f>IFERROR(__xludf.DUMMYFUNCTION("""COMPUTED_VALUE"""),45915.0)</f>
        <v>45915</v>
      </c>
      <c r="L11" s="43"/>
    </row>
    <row r="12">
      <c r="A12" s="4"/>
      <c r="B12" s="55" t="str">
        <f>IFERROR(__xludf.DUMMYFUNCTION("""COMPUTED_VALUE"""),"Match Day 3")</f>
        <v>Match Day 3</v>
      </c>
      <c r="C12" s="60" t="str">
        <f>IFERROR(__xludf.DUMMYFUNCTION("""COMPUTED_VALUE"""),"Legionaries")</f>
        <v>Legionaries</v>
      </c>
      <c r="D12" s="60" t="str">
        <f>IFERROR(__xludf.DUMMYFUNCTION("""COMPUTED_VALUE"""),"Garlic Knots")</f>
        <v>Garlic Knots</v>
      </c>
      <c r="E12" s="60" t="str">
        <f>IFERROR(__xludf.DUMMYFUNCTION("""COMPUTED_VALUE"""),"Electric Eels")</f>
        <v>Electric Eels</v>
      </c>
      <c r="F12" s="60" t="str">
        <f>IFERROR(__xludf.DUMMYFUNCTION("""COMPUTED_VALUE"""),"Kappa")</f>
        <v>Kappa</v>
      </c>
      <c r="G12" s="60" t="str">
        <f>IFERROR(__xludf.DUMMYFUNCTION("""COMPUTED_VALUE"""),"Chimera")</f>
        <v>Chimera</v>
      </c>
      <c r="H12" s="61" t="str">
        <f>IFERROR(__xludf.DUMMYFUNCTION("""COMPUTED_VALUE"""),"HR Violation")</f>
        <v>HR Violation</v>
      </c>
      <c r="I12" s="60" t="str">
        <f>IFERROR(__xludf.DUMMYFUNCTION("""COMPUTED_VALUE"""),"Bombers")</f>
        <v>Bombers</v>
      </c>
      <c r="J12" s="60" t="str">
        <f>IFERROR(__xludf.DUMMYFUNCTION("""COMPUTED_VALUE"""),"Winter Fresh")</f>
        <v>Winter Fresh</v>
      </c>
      <c r="K12" s="59">
        <f>IFERROR(__xludf.DUMMYFUNCTION("""COMPUTED_VALUE"""),45917.0)</f>
        <v>45917</v>
      </c>
      <c r="L12" s="43"/>
    </row>
    <row r="13">
      <c r="A13" s="4"/>
      <c r="B13" s="55" t="str">
        <f>IFERROR(__xludf.DUMMYFUNCTION("""COMPUTED_VALUE"""),"Match Day 4")</f>
        <v>Match Day 4</v>
      </c>
      <c r="C13" s="60" t="str">
        <f>IFERROR(__xludf.DUMMYFUNCTION("""COMPUTED_VALUE"""),"Garlic Knots")</f>
        <v>Garlic Knots</v>
      </c>
      <c r="D13" s="60" t="str">
        <f>IFERROR(__xludf.DUMMYFUNCTION("""COMPUTED_VALUE"""),"Electric Eels")</f>
        <v>Electric Eels</v>
      </c>
      <c r="E13" s="60" t="str">
        <f>IFERROR(__xludf.DUMMYFUNCTION("""COMPUTED_VALUE"""),"HR Violation")</f>
        <v>HR Violation</v>
      </c>
      <c r="F13" s="60" t="str">
        <f>IFERROR(__xludf.DUMMYFUNCTION("""COMPUTED_VALUE"""),"Bombers")</f>
        <v>Bombers</v>
      </c>
      <c r="G13" s="60" t="str">
        <f>IFERROR(__xludf.DUMMYFUNCTION("""COMPUTED_VALUE"""),"Kappa")</f>
        <v>Kappa</v>
      </c>
      <c r="H13" s="61" t="str">
        <f>IFERROR(__xludf.DUMMYFUNCTION("""COMPUTED_VALUE"""),"Legionaries")</f>
        <v>Legionaries</v>
      </c>
      <c r="I13" s="60" t="str">
        <f>IFERROR(__xludf.DUMMYFUNCTION("""COMPUTED_VALUE"""),"Winter Fresh")</f>
        <v>Winter Fresh</v>
      </c>
      <c r="J13" s="60" t="str">
        <f>IFERROR(__xludf.DUMMYFUNCTION("""COMPUTED_VALUE"""),"Chimera")</f>
        <v>Chimera</v>
      </c>
      <c r="K13" s="59">
        <f>IFERROR(__xludf.DUMMYFUNCTION("""COMPUTED_VALUE"""),45922.0)</f>
        <v>45922</v>
      </c>
      <c r="L13" s="43"/>
    </row>
    <row r="14">
      <c r="A14" s="4"/>
      <c r="B14" s="55" t="str">
        <f>IFERROR(__xludf.DUMMYFUNCTION("""COMPUTED_VALUE"""),"Match Day 5")</f>
        <v>Match Day 5</v>
      </c>
      <c r="C14" s="60" t="str">
        <f>IFERROR(__xludf.DUMMYFUNCTION("""COMPUTED_VALUE"""),"Bombers")</f>
        <v>Bombers</v>
      </c>
      <c r="D14" s="60" t="str">
        <f>IFERROR(__xludf.DUMMYFUNCTION("""COMPUTED_VALUE"""),"Winter Fresh")</f>
        <v>Winter Fresh</v>
      </c>
      <c r="E14" s="60" t="str">
        <f>IFERROR(__xludf.DUMMYFUNCTION("""COMPUTED_VALUE"""),"Chimera")</f>
        <v>Chimera</v>
      </c>
      <c r="F14" s="60" t="str">
        <f>IFERROR(__xludf.DUMMYFUNCTION("""COMPUTED_VALUE"""),"HR Violation")</f>
        <v>HR Violation</v>
      </c>
      <c r="G14" s="60" t="str">
        <f>IFERROR(__xludf.DUMMYFUNCTION("""COMPUTED_VALUE"""),"Electric Eels")</f>
        <v>Electric Eels</v>
      </c>
      <c r="H14" s="63" t="str">
        <f>IFERROR(__xludf.DUMMYFUNCTION("""COMPUTED_VALUE"""),"Kappa")</f>
        <v>Kappa</v>
      </c>
      <c r="I14" s="60" t="str">
        <f>IFERROR(__xludf.DUMMYFUNCTION("""COMPUTED_VALUE"""),"Legionaries")</f>
        <v>Legionaries</v>
      </c>
      <c r="J14" s="60" t="str">
        <f>IFERROR(__xludf.DUMMYFUNCTION("""COMPUTED_VALUE"""),"Garlic Knots")</f>
        <v>Garlic Knots</v>
      </c>
      <c r="K14" s="59">
        <f>IFERROR(__xludf.DUMMYFUNCTION("""COMPUTED_VALUE"""),45924.0)</f>
        <v>45924</v>
      </c>
      <c r="L14" s="43"/>
    </row>
    <row r="15">
      <c r="A15" s="4"/>
      <c r="B15" s="55" t="str">
        <f>IFERROR(__xludf.DUMMYFUNCTION("""COMPUTED_VALUE"""),"Match Day 6")</f>
        <v>Match Day 6</v>
      </c>
      <c r="C15" s="60" t="str">
        <f>IFERROR(__xludf.DUMMYFUNCTION("""COMPUTED_VALUE"""),"HR Violation")</f>
        <v>HR Violation</v>
      </c>
      <c r="D15" s="60" t="str">
        <f>IFERROR(__xludf.DUMMYFUNCTION("""COMPUTED_VALUE"""),"Bombers")</f>
        <v>Bombers</v>
      </c>
      <c r="E15" s="60" t="str">
        <f>IFERROR(__xludf.DUMMYFUNCTION("""COMPUTED_VALUE"""),"Garlic Knots")</f>
        <v>Garlic Knots</v>
      </c>
      <c r="F15" s="60" t="str">
        <f>IFERROR(__xludf.DUMMYFUNCTION("""COMPUTED_VALUE"""),"Electric Eels")</f>
        <v>Electric Eels</v>
      </c>
      <c r="G15" s="60" t="str">
        <f>IFERROR(__xludf.DUMMYFUNCTION("""COMPUTED_VALUE"""),"Winter Fresh")</f>
        <v>Winter Fresh</v>
      </c>
      <c r="H15" s="63" t="str">
        <f>IFERROR(__xludf.DUMMYFUNCTION("""COMPUTED_VALUE"""),"Chimera")</f>
        <v>Chimera</v>
      </c>
      <c r="I15" s="60" t="str">
        <f>IFERROR(__xludf.DUMMYFUNCTION("""COMPUTED_VALUE"""),"Kappa")</f>
        <v>Kappa</v>
      </c>
      <c r="J15" s="60" t="str">
        <f>IFERROR(__xludf.DUMMYFUNCTION("""COMPUTED_VALUE"""),"Legionaries")</f>
        <v>Legionaries</v>
      </c>
      <c r="K15" s="59">
        <f>IFERROR(__xludf.DUMMYFUNCTION("""COMPUTED_VALUE"""),45929.0)</f>
        <v>45929</v>
      </c>
      <c r="L15" s="43"/>
    </row>
    <row r="16">
      <c r="A16" s="4"/>
      <c r="B16" s="55" t="str">
        <f>IFERROR(__xludf.DUMMYFUNCTION("""COMPUTED_VALUE"""),"Match Day 7")</f>
        <v>Match Day 7</v>
      </c>
      <c r="C16" s="60" t="str">
        <f>IFERROR(__xludf.DUMMYFUNCTION("""COMPUTED_VALUE"""),"Electric Eels")</f>
        <v>Electric Eels</v>
      </c>
      <c r="D16" s="60" t="str">
        <f>IFERROR(__xludf.DUMMYFUNCTION("""COMPUTED_VALUE"""),"HR Violation")</f>
        <v>HR Violation</v>
      </c>
      <c r="E16" s="60" t="str">
        <f>IFERROR(__xludf.DUMMYFUNCTION("""COMPUTED_VALUE"""),"Bombers")</f>
        <v>Bombers</v>
      </c>
      <c r="F16" s="60" t="str">
        <f>IFERROR(__xludf.DUMMYFUNCTION("""COMPUTED_VALUE"""),"Garlic Knots")</f>
        <v>Garlic Knots</v>
      </c>
      <c r="G16" s="60" t="str">
        <f>IFERROR(__xludf.DUMMYFUNCTION("""COMPUTED_VALUE"""),"Legionaries")</f>
        <v>Legionaries</v>
      </c>
      <c r="H16" s="63" t="str">
        <f>IFERROR(__xludf.DUMMYFUNCTION("""COMPUTED_VALUE"""),"Winter Fresh")</f>
        <v>Winter Fresh</v>
      </c>
      <c r="I16" s="60" t="str">
        <f>IFERROR(__xludf.DUMMYFUNCTION("""COMPUTED_VALUE"""),"Chimera")</f>
        <v>Chimera</v>
      </c>
      <c r="J16" s="60" t="str">
        <f>IFERROR(__xludf.DUMMYFUNCTION("""COMPUTED_VALUE"""),"Kappa")</f>
        <v>Kappa</v>
      </c>
      <c r="K16" s="59">
        <f>IFERROR(__xludf.DUMMYFUNCTION("""COMPUTED_VALUE"""),45931.0)</f>
        <v>45931</v>
      </c>
      <c r="L16" s="43"/>
    </row>
    <row r="17">
      <c r="A17" s="4"/>
      <c r="B17" s="55" t="str">
        <f>IFERROR(__xludf.DUMMYFUNCTION("""COMPUTED_VALUE"""),"Match Day 8")</f>
        <v>Match Day 8</v>
      </c>
      <c r="C17" s="64" t="str">
        <f>IFERROR(__xludf.DUMMYFUNCTION("""COMPUTED_VALUE"""),"Chimera")</f>
        <v>Chimera</v>
      </c>
      <c r="D17" s="64" t="str">
        <f>IFERROR(__xludf.DUMMYFUNCTION("""COMPUTED_VALUE"""),"Kappa")</f>
        <v>Kappa</v>
      </c>
      <c r="E17" s="64" t="str">
        <f>IFERROR(__xludf.DUMMYFUNCTION("""COMPUTED_VALUE"""),"Legionaries")</f>
        <v>Legionaries</v>
      </c>
      <c r="F17" s="64" t="str">
        <f>IFERROR(__xludf.DUMMYFUNCTION("""COMPUTED_VALUE"""),"Winter Fresh")</f>
        <v>Winter Fresh</v>
      </c>
      <c r="G17" s="64" t="str">
        <f>IFERROR(__xludf.DUMMYFUNCTION("""COMPUTED_VALUE"""),"Bombers")</f>
        <v>Bombers</v>
      </c>
      <c r="H17" s="65" t="str">
        <f>IFERROR(__xludf.DUMMYFUNCTION("""COMPUTED_VALUE"""),"Garlic Knots")</f>
        <v>Garlic Knots</v>
      </c>
      <c r="I17" s="64" t="str">
        <f>IFERROR(__xludf.DUMMYFUNCTION("""COMPUTED_VALUE"""),"Electric Eels")</f>
        <v>Electric Eels</v>
      </c>
      <c r="J17" s="64" t="str">
        <f>IFERROR(__xludf.DUMMYFUNCTION("""COMPUTED_VALUE"""),"HR Violation")</f>
        <v>HR Violation</v>
      </c>
      <c r="K17" s="59">
        <f>IFERROR(__xludf.DUMMYFUNCTION("""COMPUTED_VALUE"""),45936.0)</f>
        <v>45936</v>
      </c>
      <c r="L17" s="43"/>
    </row>
    <row r="18">
      <c r="A18" s="4"/>
      <c r="B18" s="67" t="str">
        <f>IFERROR(__xludf.DUMMYFUNCTION("""COMPUTED_VALUE"""),"Match Day 9")</f>
        <v>Match Day 9</v>
      </c>
      <c r="C18" s="64" t="str">
        <f>IFERROR(__xludf.DUMMYFUNCTION("""COMPUTED_VALUE"""),"Winter Fresh")</f>
        <v>Winter Fresh</v>
      </c>
      <c r="D18" s="64" t="str">
        <f>IFERROR(__xludf.DUMMYFUNCTION("""COMPUTED_VALUE"""),"Legionaries")</f>
        <v>Legionaries</v>
      </c>
      <c r="E18" s="64" t="str">
        <f>IFERROR(__xludf.DUMMYFUNCTION("""COMPUTED_VALUE"""),"Kappa")</f>
        <v>Kappa</v>
      </c>
      <c r="F18" s="64" t="str">
        <f>IFERROR(__xludf.DUMMYFUNCTION("""COMPUTED_VALUE"""),"Chimera")</f>
        <v>Chimera</v>
      </c>
      <c r="G18" s="64" t="str">
        <f>IFERROR(__xludf.DUMMYFUNCTION("""COMPUTED_VALUE"""),"HR Violation")</f>
        <v>HR Violation</v>
      </c>
      <c r="H18" s="65" t="str">
        <f>IFERROR(__xludf.DUMMYFUNCTION("""COMPUTED_VALUE"""),"Electric Eels")</f>
        <v>Electric Eels</v>
      </c>
      <c r="I18" s="64" t="str">
        <f>IFERROR(__xludf.DUMMYFUNCTION("""COMPUTED_VALUE"""),"Garlic Knots")</f>
        <v>Garlic Knots</v>
      </c>
      <c r="J18" s="64" t="str">
        <f>IFERROR(__xludf.DUMMYFUNCTION("""COMPUTED_VALUE"""),"Bombers")</f>
        <v>Bombers</v>
      </c>
      <c r="K18" s="59">
        <f>IFERROR(__xludf.DUMMYFUNCTION("""COMPUTED_VALUE"""),45938.0)</f>
        <v>45938</v>
      </c>
      <c r="L18" s="43"/>
    </row>
    <row r="19">
      <c r="A19" s="4"/>
      <c r="B19" s="55" t="str">
        <f>IFERROR(__xludf.DUMMYFUNCTION("""COMPUTED_VALUE"""),"Match Day 10")</f>
        <v>Match Day 10</v>
      </c>
      <c r="C19" s="64" t="str">
        <f>IFERROR(__xludf.DUMMYFUNCTION("""COMPUTED_VALUE"""),"Legionaries")</f>
        <v>Legionaries</v>
      </c>
      <c r="D19" s="64" t="str">
        <f>IFERROR(__xludf.DUMMYFUNCTION("""COMPUTED_VALUE"""),"Garlic Knots")</f>
        <v>Garlic Knots</v>
      </c>
      <c r="E19" s="64" t="str">
        <f>IFERROR(__xludf.DUMMYFUNCTION("""COMPUTED_VALUE"""),"Electric Eels")</f>
        <v>Electric Eels</v>
      </c>
      <c r="F19" s="64" t="str">
        <f>IFERROR(__xludf.DUMMYFUNCTION("""COMPUTED_VALUE"""),"Kappa")</f>
        <v>Kappa</v>
      </c>
      <c r="G19" s="64" t="str">
        <f>IFERROR(__xludf.DUMMYFUNCTION("""COMPUTED_VALUE"""),"Chimera")</f>
        <v>Chimera</v>
      </c>
      <c r="H19" s="65" t="str">
        <f>IFERROR(__xludf.DUMMYFUNCTION("""COMPUTED_VALUE"""),"HR Violation")</f>
        <v>HR Violation</v>
      </c>
      <c r="I19" s="64" t="str">
        <f>IFERROR(__xludf.DUMMYFUNCTION("""COMPUTED_VALUE"""),"Bombers")</f>
        <v>Bombers</v>
      </c>
      <c r="J19" s="64" t="str">
        <f>IFERROR(__xludf.DUMMYFUNCTION("""COMPUTED_VALUE"""),"Winter Fresh")</f>
        <v>Winter Fresh</v>
      </c>
      <c r="K19" s="59">
        <f>IFERROR(__xludf.DUMMYFUNCTION("""COMPUTED_VALUE"""),45945.0)</f>
        <v>45945</v>
      </c>
      <c r="L19" s="43"/>
    </row>
    <row r="20">
      <c r="A20" s="4"/>
      <c r="B20" s="55" t="str">
        <f>IFERROR(__xludf.DUMMYFUNCTION("""COMPUTED_VALUE"""),"Match Day 11")</f>
        <v>Match Day 11</v>
      </c>
      <c r="C20" s="64" t="str">
        <f>IFERROR(__xludf.DUMMYFUNCTION("""COMPUTED_VALUE"""),"Garlic Knots")</f>
        <v>Garlic Knots</v>
      </c>
      <c r="D20" s="64" t="str">
        <f>IFERROR(__xludf.DUMMYFUNCTION("""COMPUTED_VALUE"""),"Electric Eels")</f>
        <v>Electric Eels</v>
      </c>
      <c r="E20" s="64" t="str">
        <f>IFERROR(__xludf.DUMMYFUNCTION("""COMPUTED_VALUE"""),"HR Violation")</f>
        <v>HR Violation</v>
      </c>
      <c r="F20" s="64" t="str">
        <f>IFERROR(__xludf.DUMMYFUNCTION("""COMPUTED_VALUE"""),"Bombers")</f>
        <v>Bombers</v>
      </c>
      <c r="G20" s="64" t="str">
        <f>IFERROR(__xludf.DUMMYFUNCTION("""COMPUTED_VALUE"""),"Kappa")</f>
        <v>Kappa</v>
      </c>
      <c r="H20" s="65" t="str">
        <f>IFERROR(__xludf.DUMMYFUNCTION("""COMPUTED_VALUE"""),"Legionaries")</f>
        <v>Legionaries</v>
      </c>
      <c r="I20" s="64" t="str">
        <f>IFERROR(__xludf.DUMMYFUNCTION("""COMPUTED_VALUE"""),"Winter Fresh")</f>
        <v>Winter Fresh</v>
      </c>
      <c r="J20" s="64" t="str">
        <f>IFERROR(__xludf.DUMMYFUNCTION("""COMPUTED_VALUE"""),"Chimera")</f>
        <v>Chimera</v>
      </c>
      <c r="K20" s="59">
        <f>IFERROR(__xludf.DUMMYFUNCTION("""COMPUTED_VALUE"""),45950.0)</f>
        <v>45950</v>
      </c>
      <c r="L20" s="43"/>
    </row>
    <row r="21">
      <c r="A21" s="4"/>
      <c r="B21" s="68" t="str">
        <f>IFERROR(__xludf.DUMMYFUNCTION("""COMPUTED_VALUE"""),"Match Day 12")</f>
        <v>Match Day 12</v>
      </c>
      <c r="C21" s="64" t="str">
        <f>IFERROR(__xludf.DUMMYFUNCTION("""COMPUTED_VALUE"""),"Bombers")</f>
        <v>Bombers</v>
      </c>
      <c r="D21" s="64" t="str">
        <f>IFERROR(__xludf.DUMMYFUNCTION("""COMPUTED_VALUE"""),"Winter Fresh")</f>
        <v>Winter Fresh</v>
      </c>
      <c r="E21" s="64" t="str">
        <f>IFERROR(__xludf.DUMMYFUNCTION("""COMPUTED_VALUE"""),"Chimera")</f>
        <v>Chimera</v>
      </c>
      <c r="F21" s="64" t="str">
        <f>IFERROR(__xludf.DUMMYFUNCTION("""COMPUTED_VALUE"""),"HR Violation")</f>
        <v>HR Violation</v>
      </c>
      <c r="G21" s="64" t="str">
        <f>IFERROR(__xludf.DUMMYFUNCTION("""COMPUTED_VALUE"""),"Electric Eels")</f>
        <v>Electric Eels</v>
      </c>
      <c r="H21" s="65" t="str">
        <f>IFERROR(__xludf.DUMMYFUNCTION("""COMPUTED_VALUE"""),"Kappa")</f>
        <v>Kappa</v>
      </c>
      <c r="I21" s="64" t="str">
        <f>IFERROR(__xludf.DUMMYFUNCTION("""COMPUTED_VALUE"""),"Legionaries")</f>
        <v>Legionaries</v>
      </c>
      <c r="J21" s="64" t="str">
        <f>IFERROR(__xludf.DUMMYFUNCTION("""COMPUTED_VALUE"""),"Garlic Knots")</f>
        <v>Garlic Knots</v>
      </c>
      <c r="K21" s="59">
        <f>IFERROR(__xludf.DUMMYFUNCTION("""COMPUTED_VALUE"""),45952.0)</f>
        <v>45952</v>
      </c>
      <c r="L21" s="43"/>
    </row>
    <row r="22">
      <c r="A22" s="4"/>
      <c r="B22" s="68" t="str">
        <f>IFERROR(__xludf.DUMMYFUNCTION("""COMPUTED_VALUE"""),"Match Day 13")</f>
        <v>Match Day 13</v>
      </c>
      <c r="C22" s="64" t="str">
        <f>IFERROR(__xludf.DUMMYFUNCTION("""COMPUTED_VALUE"""),"HR Violation")</f>
        <v>HR Violation</v>
      </c>
      <c r="D22" s="64" t="str">
        <f>IFERROR(__xludf.DUMMYFUNCTION("""COMPUTED_VALUE"""),"Bombers")</f>
        <v>Bombers</v>
      </c>
      <c r="E22" s="64" t="str">
        <f>IFERROR(__xludf.DUMMYFUNCTION("""COMPUTED_VALUE"""),"Garlic Knots")</f>
        <v>Garlic Knots</v>
      </c>
      <c r="F22" s="64" t="str">
        <f>IFERROR(__xludf.DUMMYFUNCTION("""COMPUTED_VALUE"""),"Electric Eels")</f>
        <v>Electric Eels</v>
      </c>
      <c r="G22" s="64" t="str">
        <f>IFERROR(__xludf.DUMMYFUNCTION("""COMPUTED_VALUE"""),"Winter Fresh")</f>
        <v>Winter Fresh</v>
      </c>
      <c r="H22" s="65" t="str">
        <f>IFERROR(__xludf.DUMMYFUNCTION("""COMPUTED_VALUE"""),"Chimera")</f>
        <v>Chimera</v>
      </c>
      <c r="I22" s="64" t="str">
        <f>IFERROR(__xludf.DUMMYFUNCTION("""COMPUTED_VALUE"""),"Kappa")</f>
        <v>Kappa</v>
      </c>
      <c r="J22" s="64" t="str">
        <f>IFERROR(__xludf.DUMMYFUNCTION("""COMPUTED_VALUE"""),"Legionaries")</f>
        <v>Legionaries</v>
      </c>
      <c r="K22" s="59">
        <f>IFERROR(__xludf.DUMMYFUNCTION("""COMPUTED_VALUE"""),45957.0)</f>
        <v>45957</v>
      </c>
      <c r="L22" s="43"/>
    </row>
    <row r="23">
      <c r="A23" s="4"/>
      <c r="B23" s="55" t="str">
        <f>IFERROR(__xludf.DUMMYFUNCTION("""COMPUTED_VALUE"""),"Match Day 14")</f>
        <v>Match Day 14</v>
      </c>
      <c r="C23" s="64" t="str">
        <f>IFERROR(__xludf.DUMMYFUNCTION("""COMPUTED_VALUE"""),"Electric Eels")</f>
        <v>Electric Eels</v>
      </c>
      <c r="D23" s="64" t="str">
        <f>IFERROR(__xludf.DUMMYFUNCTION("""COMPUTED_VALUE"""),"HR Violation")</f>
        <v>HR Violation</v>
      </c>
      <c r="E23" s="64" t="str">
        <f>IFERROR(__xludf.DUMMYFUNCTION("""COMPUTED_VALUE"""),"Bombers")</f>
        <v>Bombers</v>
      </c>
      <c r="F23" s="64" t="str">
        <f>IFERROR(__xludf.DUMMYFUNCTION("""COMPUTED_VALUE"""),"Garlic Knots")</f>
        <v>Garlic Knots</v>
      </c>
      <c r="G23" s="64" t="str">
        <f>IFERROR(__xludf.DUMMYFUNCTION("""COMPUTED_VALUE"""),"Legionaries")</f>
        <v>Legionaries</v>
      </c>
      <c r="H23" s="65" t="str">
        <f>IFERROR(__xludf.DUMMYFUNCTION("""COMPUTED_VALUE"""),"Winter Fresh")</f>
        <v>Winter Fresh</v>
      </c>
      <c r="I23" s="64" t="str">
        <f>IFERROR(__xludf.DUMMYFUNCTION("""COMPUTED_VALUE"""),"Chimera")</f>
        <v>Chimera</v>
      </c>
      <c r="J23" s="64" t="str">
        <f>IFERROR(__xludf.DUMMYFUNCTION("""COMPUTED_VALUE"""),"Kappa")</f>
        <v>Kappa</v>
      </c>
      <c r="K23" s="59">
        <f>IFERROR(__xludf.DUMMYFUNCTION("""COMPUTED_VALUE"""),45959.0)</f>
        <v>45959</v>
      </c>
      <c r="L23" s="43"/>
    </row>
    <row r="24">
      <c r="A24" s="4"/>
      <c r="B24" s="55" t="str">
        <f>IFERROR(__xludf.DUMMYFUNCTION("""COMPUTED_VALUE"""),"Match Day 15")</f>
        <v>Match Day 15</v>
      </c>
      <c r="C24" s="69" t="str">
        <f>IFERROR(__xludf.DUMMYFUNCTION("""COMPUTED_VALUE"""),"Semifinals (10:00 PM ET)")</f>
        <v>Semifinals (10:00 PM ET)</v>
      </c>
      <c r="D24" s="70"/>
      <c r="E24" s="70"/>
      <c r="F24" s="70"/>
      <c r="G24" s="70"/>
      <c r="H24" s="70"/>
      <c r="I24" s="70"/>
      <c r="J24" s="71"/>
      <c r="K24" s="59">
        <f>IFERROR(__xludf.DUMMYFUNCTION("""COMPUTED_VALUE"""),45964.0)</f>
        <v>45964</v>
      </c>
      <c r="L24" s="43"/>
    </row>
    <row r="25">
      <c r="A25" s="4"/>
      <c r="B25" s="68" t="str">
        <f>IFERROR(__xludf.DUMMYFUNCTION("""COMPUTED_VALUE"""),"Match Day 16")</f>
        <v>Match Day 16</v>
      </c>
      <c r="C25" s="171" t="str">
        <f>IFERROR(__xludf.DUMMYFUNCTION("""COMPUTED_VALUE"""),"Finals (9:30 PM ET)")</f>
        <v>Finals (9:30 PM ET)</v>
      </c>
      <c r="D25" s="70"/>
      <c r="E25" s="70"/>
      <c r="F25" s="70"/>
      <c r="G25" s="70"/>
      <c r="H25" s="70"/>
      <c r="I25" s="70"/>
      <c r="J25" s="71"/>
      <c r="K25" s="59">
        <f>IFERROR(__xludf.DUMMYFUNCTION("""COMPUTED_VALUE"""),45966.0)</f>
        <v>45966</v>
      </c>
      <c r="L25" s="4"/>
    </row>
    <row r="26">
      <c r="A26" s="4"/>
      <c r="B26" s="4"/>
      <c r="C26" s="4"/>
      <c r="D26" s="4"/>
      <c r="E26" s="4"/>
      <c r="F26" s="4"/>
      <c r="G26" s="4"/>
      <c r="H26" s="72"/>
      <c r="I26" s="4"/>
      <c r="J26" s="4"/>
      <c r="K26" s="72"/>
      <c r="L26" s="4"/>
    </row>
  </sheetData>
  <mergeCells count="4">
    <mergeCell ref="C2:J2"/>
    <mergeCell ref="C4:J4"/>
    <mergeCell ref="C24:J24"/>
    <mergeCell ref="C25:J2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2.63"/>
    <col customWidth="1" min="4" max="4" width="15.75"/>
    <col customWidth="1" hidden="1" min="5" max="5" width="15.75"/>
    <col customWidth="1" min="6" max="12" width="15.75"/>
    <col customWidth="1" min="13" max="13" width="56.38"/>
  </cols>
  <sheetData>
    <row r="1">
      <c r="A1" s="172" t="str">
        <f>IFERROR(__xludf.DUMMYFUNCTION("IMPORTRANGE(Imports!B1, ""Planning!A1:M31"")"),"")</f>
        <v/>
      </c>
      <c r="B1" s="126"/>
      <c r="C1" s="172"/>
      <c r="D1" s="173" t="str">
        <f>IFERROR(__xludf.DUMMYFUNCTION("""COMPUTED_VALUE"""),"8-team Amateur")</f>
        <v>8-team Amateur</v>
      </c>
      <c r="E1" s="174" t="str">
        <f>IFERROR(__xludf.DUMMYFUNCTION("""COMPUTED_VALUE"""),"10-team Contender")</f>
        <v>10-team Contender</v>
      </c>
      <c r="F1" s="175" t="str">
        <f>IFERROR(__xludf.DUMMYFUNCTION("""COMPUTED_VALUE"""),"12-team Prospect")</f>
        <v>12-team Prospect</v>
      </c>
      <c r="G1" s="176" t="str">
        <f>IFERROR(__xludf.DUMMYFUNCTION("""COMPUTED_VALUE"""),"32-team Challenger")</f>
        <v>32-team Challenger</v>
      </c>
      <c r="H1" s="177" t="str">
        <f>IFERROR(__xludf.DUMMYFUNCTION("""COMPUTED_VALUE"""),"32-Team Rival")</f>
        <v>32-Team Rival</v>
      </c>
      <c r="I1" s="178" t="str">
        <f>IFERROR(__xludf.DUMMYFUNCTION("""COMPUTED_VALUE"""),"32-Team Veteran")</f>
        <v>32-Team Veteran</v>
      </c>
      <c r="J1" s="179" t="str">
        <f>IFERROR(__xludf.DUMMYFUNCTION("""COMPUTED_VALUE"""),"32-Team Elite")</f>
        <v>32-Team Elite</v>
      </c>
      <c r="K1" s="180" t="str">
        <f>IFERROR(__xludf.DUMMYFUNCTION("""COMPUTED_VALUE"""),"12-Team Master")</f>
        <v>12-Team Master</v>
      </c>
      <c r="L1" s="181" t="str">
        <f>IFERROR(__xludf.DUMMYFUNCTION("""COMPUTED_VALUE"""),"8-team Premier")</f>
        <v>8-team Premier</v>
      </c>
      <c r="M1" s="182" t="str">
        <f>IFERROR(__xludf.DUMMYFUNCTION("""COMPUTED_VALUE"""),"Finals Schedule")</f>
        <v>Finals Schedule</v>
      </c>
    </row>
    <row r="2">
      <c r="A2" s="183" t="str">
        <f>IFERROR(__xludf.DUMMYFUNCTION("""COMPUTED_VALUE"""),"Wednesday")</f>
        <v>Wednesday</v>
      </c>
      <c r="B2" s="184">
        <f>IFERROR(__xludf.DUMMYFUNCTION("""COMPUTED_VALUE"""),45896.0)</f>
        <v>45896</v>
      </c>
      <c r="C2" s="185" t="str">
        <f>IFERROR(__xludf.DUMMYFUNCTION("""COMPUTED_VALUE"""),"Pre-1")</f>
        <v>Pre-1</v>
      </c>
      <c r="D2" s="185" t="str">
        <f>IFERROR(__xludf.DUMMYFUNCTION("""COMPUTED_VALUE"""),"Preseason")</f>
        <v>Preseason</v>
      </c>
      <c r="M2" s="93"/>
    </row>
    <row r="3">
      <c r="A3" s="183" t="str">
        <f>IFERROR(__xludf.DUMMYFUNCTION("""COMPUTED_VALUE"""),"Tuesday")</f>
        <v>Tuesday</v>
      </c>
      <c r="B3" s="184">
        <f>IFERROR(__xludf.DUMMYFUNCTION("""COMPUTED_VALUE"""),45902.0)</f>
        <v>45902</v>
      </c>
      <c r="C3" s="185" t="str">
        <f>IFERROR(__xludf.DUMMYFUNCTION("""COMPUTED_VALUE"""),"1st Cut Day")</f>
        <v>1st Cut Day</v>
      </c>
      <c r="D3" s="185" t="str">
        <f>IFERROR(__xludf.DUMMYFUNCTION("""COMPUTED_VALUE"""),"1st Cut Day 9:59pm ET    (Down to 5)")</f>
        <v>1st Cut Day 9:59pm ET    (Down to 5)</v>
      </c>
      <c r="M3" s="93"/>
    </row>
    <row r="4">
      <c r="A4" s="183" t="str">
        <f>IFERROR(__xludf.DUMMYFUNCTION("""COMPUTED_VALUE"""),"Wednesday")</f>
        <v>Wednesday</v>
      </c>
      <c r="B4" s="184">
        <f>IFERROR(__xludf.DUMMYFUNCTION("""COMPUTED_VALUE"""),45903.0)</f>
        <v>45903</v>
      </c>
      <c r="C4" s="185" t="str">
        <f>IFERROR(__xludf.DUMMYFUNCTION("""COMPUTED_VALUE"""),"Pre-2")</f>
        <v>Pre-2</v>
      </c>
      <c r="D4" s="185" t="str">
        <f>IFERROR(__xludf.DUMMYFUNCTION("""COMPUTED_VALUE"""),"Preseason")</f>
        <v>Preseason</v>
      </c>
      <c r="M4" s="93"/>
    </row>
    <row r="5">
      <c r="A5" s="183" t="str">
        <f>IFERROR(__xludf.DUMMYFUNCTION("""COMPUTED_VALUE"""),"Sunday")</f>
        <v>Sunday</v>
      </c>
      <c r="B5" s="184">
        <f>IFERROR(__xludf.DUMMYFUNCTION("""COMPUTED_VALUE"""),45907.0)</f>
        <v>45907</v>
      </c>
      <c r="C5" s="185" t="str">
        <f>IFERROR(__xludf.DUMMYFUNCTION("""COMPUTED_VALUE"""),"2nd Cut Day")</f>
        <v>2nd Cut Day</v>
      </c>
      <c r="D5" s="186" t="str">
        <f>IFERROR(__xludf.DUMMYFUNCTION("""COMPUTED_VALUE"""),"2nd Cut Day 9:59pm ET    (Down to 4)")</f>
        <v>2nd Cut Day 9:59pm ET    (Down to 4)</v>
      </c>
      <c r="M5" s="93"/>
    </row>
    <row r="6">
      <c r="A6" s="183" t="str">
        <f>IFERROR(__xludf.DUMMYFUNCTION("""COMPUTED_VALUE"""),"Monday")</f>
        <v>Monday</v>
      </c>
      <c r="B6" s="184">
        <f>IFERROR(__xludf.DUMMYFUNCTION("""COMPUTED_VALUE"""),45908.0)</f>
        <v>45908</v>
      </c>
      <c r="C6" s="185" t="str">
        <f>IFERROR(__xludf.DUMMYFUNCTION("""COMPUTED_VALUE"""),"Pre-3")</f>
        <v>Pre-3</v>
      </c>
      <c r="D6" s="186" t="str">
        <f>IFERROR(__xludf.DUMMYFUNCTION("""COMPUTED_VALUE"""),"Preseason")</f>
        <v>Preseason</v>
      </c>
      <c r="M6" s="93"/>
    </row>
    <row r="7">
      <c r="A7" s="183" t="str">
        <f>IFERROR(__xludf.DUMMYFUNCTION("""COMPUTED_VALUE"""),"Wednesday")</f>
        <v>Wednesday</v>
      </c>
      <c r="B7" s="184">
        <f>IFERROR(__xludf.DUMMYFUNCTION("""COMPUTED_VALUE"""),45910.0)</f>
        <v>45910</v>
      </c>
      <c r="C7" s="187" t="str">
        <f>IFERROR(__xludf.DUMMYFUNCTION("""COMPUTED_VALUE"""),"Match Day 1")</f>
        <v>Match Day 1</v>
      </c>
      <c r="D7" s="187" t="str">
        <f>IFERROR(__xludf.DUMMYFUNCTION("""COMPUTED_VALUE"""),"Scheduled Day")</f>
        <v>Scheduled Day</v>
      </c>
      <c r="M7" s="188"/>
    </row>
    <row r="8">
      <c r="A8" s="183" t="str">
        <f>IFERROR(__xludf.DUMMYFUNCTION("""COMPUTED_VALUE"""),"Monday")</f>
        <v>Monday</v>
      </c>
      <c r="B8" s="184">
        <f>IFERROR(__xludf.DUMMYFUNCTION("""COMPUTED_VALUE"""),45915.0)</f>
        <v>45915</v>
      </c>
      <c r="C8" s="187" t="str">
        <f>IFERROR(__xludf.DUMMYFUNCTION("""COMPUTED_VALUE"""),"Match Day 2")</f>
        <v>Match Day 2</v>
      </c>
      <c r="D8" s="187" t="str">
        <f>IFERROR(__xludf.DUMMYFUNCTION("""COMPUTED_VALUE"""),"Scheduled Day")</f>
        <v>Scheduled Day</v>
      </c>
      <c r="M8" s="188"/>
    </row>
    <row r="9">
      <c r="A9" s="183" t="str">
        <f>IFERROR(__xludf.DUMMYFUNCTION("""COMPUTED_VALUE"""),"Wednesday")</f>
        <v>Wednesday</v>
      </c>
      <c r="B9" s="184">
        <f>IFERROR(__xludf.DUMMYFUNCTION("""COMPUTED_VALUE"""),45917.0)</f>
        <v>45917</v>
      </c>
      <c r="C9" s="187" t="str">
        <f>IFERROR(__xludf.DUMMYFUNCTION("""COMPUTED_VALUE"""),"Match Day 3")</f>
        <v>Match Day 3</v>
      </c>
      <c r="D9" s="187" t="str">
        <f>IFERROR(__xludf.DUMMYFUNCTION("""COMPUTED_VALUE"""),"Scheduled Day")</f>
        <v>Scheduled Day</v>
      </c>
      <c r="M9" s="188"/>
    </row>
    <row r="10">
      <c r="A10" s="183" t="str">
        <f>IFERROR(__xludf.DUMMYFUNCTION("""COMPUTED_VALUE"""),"Monday")</f>
        <v>Monday</v>
      </c>
      <c r="B10" s="184">
        <f>IFERROR(__xludf.DUMMYFUNCTION("""COMPUTED_VALUE"""),45922.0)</f>
        <v>45922</v>
      </c>
      <c r="C10" s="187" t="str">
        <f>IFERROR(__xludf.DUMMYFUNCTION("""COMPUTED_VALUE"""),"Match Day 4")</f>
        <v>Match Day 4</v>
      </c>
      <c r="D10" s="187" t="str">
        <f>IFERROR(__xludf.DUMMYFUNCTION("""COMPUTED_VALUE"""),"Scheduled Day")</f>
        <v>Scheduled Day</v>
      </c>
      <c r="M10" s="93"/>
    </row>
    <row r="11">
      <c r="A11" s="183" t="str">
        <f>IFERROR(__xludf.DUMMYFUNCTION("""COMPUTED_VALUE"""),"Wednesday")</f>
        <v>Wednesday</v>
      </c>
      <c r="B11" s="184">
        <f>IFERROR(__xludf.DUMMYFUNCTION("""COMPUTED_VALUE"""),45924.0)</f>
        <v>45924</v>
      </c>
      <c r="C11" s="187" t="str">
        <f>IFERROR(__xludf.DUMMYFUNCTION("""COMPUTED_VALUE"""),"Match Day 5")</f>
        <v>Match Day 5</v>
      </c>
      <c r="D11" s="187" t="str">
        <f>IFERROR(__xludf.DUMMYFUNCTION("""COMPUTED_VALUE"""),"Scheduled Day")</f>
        <v>Scheduled Day</v>
      </c>
      <c r="M11" s="189"/>
    </row>
    <row r="12">
      <c r="A12" s="183" t="str">
        <f>IFERROR(__xludf.DUMMYFUNCTION("""COMPUTED_VALUE"""),"Monday")</f>
        <v>Monday</v>
      </c>
      <c r="B12" s="184">
        <f>IFERROR(__xludf.DUMMYFUNCTION("""COMPUTED_VALUE"""),45929.0)</f>
        <v>45929</v>
      </c>
      <c r="C12" s="187" t="str">
        <f>IFERROR(__xludf.DUMMYFUNCTION("""COMPUTED_VALUE"""),"Match Day 6")</f>
        <v>Match Day 6</v>
      </c>
      <c r="D12" s="187" t="str">
        <f>IFERROR(__xludf.DUMMYFUNCTION("""COMPUTED_VALUE"""),"Scheduled Day")</f>
        <v>Scheduled Day</v>
      </c>
      <c r="M12" s="189"/>
    </row>
    <row r="13">
      <c r="A13" s="183" t="str">
        <f>IFERROR(__xludf.DUMMYFUNCTION("""COMPUTED_VALUE"""),"Wednesday")</f>
        <v>Wednesday</v>
      </c>
      <c r="B13" s="184">
        <f>IFERROR(__xludf.DUMMYFUNCTION("""COMPUTED_VALUE"""),45931.0)</f>
        <v>45931</v>
      </c>
      <c r="C13" s="187" t="str">
        <f>IFERROR(__xludf.DUMMYFUNCTION("""COMPUTED_VALUE"""),"Match Day 7")</f>
        <v>Match Day 7</v>
      </c>
      <c r="D13" s="187" t="str">
        <f>IFERROR(__xludf.DUMMYFUNCTION("""COMPUTED_VALUE"""),"Scheduled Day")</f>
        <v>Scheduled Day</v>
      </c>
      <c r="M13" s="189"/>
    </row>
    <row r="14">
      <c r="A14" s="183" t="str">
        <f>IFERROR(__xludf.DUMMYFUNCTION("""COMPUTED_VALUE"""),"Monday")</f>
        <v>Monday</v>
      </c>
      <c r="B14" s="184">
        <f>IFERROR(__xludf.DUMMYFUNCTION("""COMPUTED_VALUE"""),45936.0)</f>
        <v>45936</v>
      </c>
      <c r="C14" s="187" t="str">
        <f>IFERROR(__xludf.DUMMYFUNCTION("""COMPUTED_VALUE"""),"Match Day 8")</f>
        <v>Match Day 8</v>
      </c>
      <c r="D14" s="187" t="str">
        <f>IFERROR(__xludf.DUMMYFUNCTION("""COMPUTED_VALUE"""),"Scheduled Day")</f>
        <v>Scheduled Day</v>
      </c>
      <c r="M14" s="189"/>
    </row>
    <row r="15">
      <c r="A15" s="183" t="str">
        <f>IFERROR(__xludf.DUMMYFUNCTION("""COMPUTED_VALUE"""),"Wednesday")</f>
        <v>Wednesday</v>
      </c>
      <c r="B15" s="184">
        <f>IFERROR(__xludf.DUMMYFUNCTION("""COMPUTED_VALUE"""),45938.0)</f>
        <v>45938</v>
      </c>
      <c r="C15" s="187" t="str">
        <f>IFERROR(__xludf.DUMMYFUNCTION("""COMPUTED_VALUE"""),"Match Day 9")</f>
        <v>Match Day 9</v>
      </c>
      <c r="D15" s="187" t="str">
        <f>IFERROR(__xludf.DUMMYFUNCTION("""COMPUTED_VALUE"""),"Scheduled Day")</f>
        <v>Scheduled Day</v>
      </c>
      <c r="M15" s="189"/>
    </row>
    <row r="16">
      <c r="A16" s="183" t="str">
        <f>IFERROR(__xludf.DUMMYFUNCTION("""COMPUTED_VALUE"""),"Monday")</f>
        <v>Monday</v>
      </c>
      <c r="B16" s="184">
        <f>IFERROR(__xludf.DUMMYFUNCTION("""COMPUTED_VALUE"""),45943.0)</f>
        <v>45943</v>
      </c>
      <c r="C16" s="190" t="str">
        <f>IFERROR(__xludf.DUMMYFUNCTION("""COMPUTED_VALUE"""),"Canadian Thanksgiving/Columbus Day/Indigenous People's Day")</f>
        <v>Canadian Thanksgiving/Columbus Day/Indigenous People's Day</v>
      </c>
      <c r="M16" s="93"/>
    </row>
    <row r="17">
      <c r="A17" s="183" t="str">
        <f>IFERROR(__xludf.DUMMYFUNCTION("""COMPUTED_VALUE"""),"Wednesday")</f>
        <v>Wednesday</v>
      </c>
      <c r="B17" s="184">
        <f>IFERROR(__xludf.DUMMYFUNCTION("""COMPUTED_VALUE"""),45945.0)</f>
        <v>45945</v>
      </c>
      <c r="C17" s="187" t="str">
        <f>IFERROR(__xludf.DUMMYFUNCTION("""COMPUTED_VALUE"""),"Match Day 10")</f>
        <v>Match Day 10</v>
      </c>
      <c r="D17" s="187" t="str">
        <f>IFERROR(__xludf.DUMMYFUNCTION("""COMPUTED_VALUE"""),"Scheduled Day")</f>
        <v>Scheduled Day</v>
      </c>
      <c r="M17" s="93"/>
    </row>
    <row r="18">
      <c r="A18" s="183" t="str">
        <f>IFERROR(__xludf.DUMMYFUNCTION("""COMPUTED_VALUE"""),"Monday")</f>
        <v>Monday</v>
      </c>
      <c r="B18" s="184">
        <f>IFERROR(__xludf.DUMMYFUNCTION("""COMPUTED_VALUE"""),45950.0)</f>
        <v>45950</v>
      </c>
      <c r="C18" s="187" t="str">
        <f>IFERROR(__xludf.DUMMYFUNCTION("""COMPUTED_VALUE"""),"Match Day 11")</f>
        <v>Match Day 11</v>
      </c>
      <c r="D18" s="187" t="str">
        <f>IFERROR(__xludf.DUMMYFUNCTION("""COMPUTED_VALUE"""),"Scheduled Day")</f>
        <v>Scheduled Day</v>
      </c>
      <c r="M18" s="93"/>
    </row>
    <row r="19">
      <c r="A19" s="183" t="str">
        <f>IFERROR(__xludf.DUMMYFUNCTION("""COMPUTED_VALUE"""),"Wednesday")</f>
        <v>Wednesday</v>
      </c>
      <c r="B19" s="184">
        <f>IFERROR(__xludf.DUMMYFUNCTION("""COMPUTED_VALUE"""),45952.0)</f>
        <v>45952</v>
      </c>
      <c r="C19" s="191" t="str">
        <f>IFERROR(__xludf.DUMMYFUNCTION("""COMPUTED_VALUE"""),"Match Day 12")</f>
        <v>Match Day 12</v>
      </c>
      <c r="D19" s="187" t="str">
        <f>IFERROR(__xludf.DUMMYFUNCTION("""COMPUTED_VALUE"""),"Scheduled Day")</f>
        <v>Scheduled Day</v>
      </c>
      <c r="M19" s="93"/>
    </row>
    <row r="20">
      <c r="A20" s="183" t="str">
        <f>IFERROR(__xludf.DUMMYFUNCTION("""COMPUTED_VALUE"""),"Monday")</f>
        <v>Monday</v>
      </c>
      <c r="B20" s="184">
        <f>IFERROR(__xludf.DUMMYFUNCTION("""COMPUTED_VALUE"""),45957.0)</f>
        <v>45957</v>
      </c>
      <c r="C20" s="191" t="str">
        <f>IFERROR(__xludf.DUMMYFUNCTION("""COMPUTED_VALUE"""),"Match Day 13")</f>
        <v>Match Day 13</v>
      </c>
      <c r="D20" s="187" t="str">
        <f>IFERROR(__xludf.DUMMYFUNCTION("""COMPUTED_VALUE"""),"Scheduled Day")</f>
        <v>Scheduled Day</v>
      </c>
      <c r="M20" s="93"/>
    </row>
    <row r="21">
      <c r="A21" s="192" t="str">
        <f>IFERROR(__xludf.DUMMYFUNCTION("""COMPUTED_VALUE"""),"Wednesday")</f>
        <v>Wednesday</v>
      </c>
      <c r="B21" s="184">
        <f>IFERROR(__xludf.DUMMYFUNCTION("""COMPUTED_VALUE"""),45959.0)</f>
        <v>45959</v>
      </c>
      <c r="C21" s="187" t="str">
        <f>IFERROR(__xludf.DUMMYFUNCTION("""COMPUTED_VALUE"""),"Match Day 14")</f>
        <v>Match Day 14</v>
      </c>
      <c r="D21" s="187" t="str">
        <f>IFERROR(__xludf.DUMMYFUNCTION("""COMPUTED_VALUE"""),"Scheduled Day")</f>
        <v>Scheduled Day</v>
      </c>
      <c r="M21" s="189"/>
    </row>
    <row r="22">
      <c r="A22" s="183" t="str">
        <f>IFERROR(__xludf.DUMMYFUNCTION("""COMPUTED_VALUE"""),"Monday")</f>
        <v>Monday</v>
      </c>
      <c r="B22" s="184">
        <f>IFERROR(__xludf.DUMMYFUNCTION("""COMPUTED_VALUE"""),45964.0)</f>
        <v>45964</v>
      </c>
      <c r="C22" s="187" t="str">
        <f>IFERROR(__xludf.DUMMYFUNCTION("""COMPUTED_VALUE"""),"Match Day 15")</f>
        <v>Match Day 15</v>
      </c>
      <c r="D22" s="193" t="str">
        <f>IFERROR(__xludf.DUMMYFUNCTION("""COMPUTED_VALUE"""),"Playoff (Semi)")</f>
        <v>Playoff (Semi)</v>
      </c>
      <c r="E22" s="194" t="str">
        <f>IFERROR(__xludf.DUMMYFUNCTION("""COMPUTED_VALUE"""),"Playoff (Semi)")</f>
        <v>Playoff (Semi)</v>
      </c>
      <c r="F22" s="193" t="str">
        <f>IFERROR(__xludf.DUMMYFUNCTION("""COMPUTED_VALUE"""),"Playoff (Qtrs)")</f>
        <v>Playoff (Qtrs)</v>
      </c>
      <c r="G22" s="187" t="str">
        <f>IFERROR(__xludf.DUMMYFUNCTION("""COMPUTED_VALUE"""),"Scheduled Day")</f>
        <v>Scheduled Day</v>
      </c>
      <c r="K22" s="193" t="str">
        <f>IFERROR(__xludf.DUMMYFUNCTION("""COMPUTED_VALUE"""),"Playoff (Qtrs)")</f>
        <v>Playoff (Qtrs)</v>
      </c>
      <c r="L22" s="193" t="str">
        <f>IFERROR(__xludf.DUMMYFUNCTION("""COMPUTED_VALUE"""),"Playoff (Semi)")</f>
        <v>Playoff (Semi)</v>
      </c>
      <c r="M22" s="189"/>
    </row>
    <row r="23">
      <c r="A23" s="183" t="str">
        <f>IFERROR(__xludf.DUMMYFUNCTION("""COMPUTED_VALUE"""),"Wednesday")</f>
        <v>Wednesday</v>
      </c>
      <c r="B23" s="184">
        <f>IFERROR(__xludf.DUMMYFUNCTION("""COMPUTED_VALUE"""),45966.0)</f>
        <v>45966</v>
      </c>
      <c r="C23" s="187" t="str">
        <f>IFERROR(__xludf.DUMMYFUNCTION("""COMPUTED_VALUE"""),"Match Day 16")</f>
        <v>Match Day 16</v>
      </c>
      <c r="D23" s="193" t="str">
        <f>IFERROR(__xludf.DUMMYFUNCTION("""COMPUTED_VALUE"""),"Playoff (Finals)")</f>
        <v>Playoff (Finals)</v>
      </c>
      <c r="E23" s="193" t="str">
        <f>IFERROR(__xludf.DUMMYFUNCTION("""COMPUTED_VALUE"""),"Playoff (Finals)")</f>
        <v>Playoff (Finals)</v>
      </c>
      <c r="F23" s="193" t="str">
        <f>IFERROR(__xludf.DUMMYFUNCTION("""COMPUTED_VALUE"""),"Playoff (Semi)")</f>
        <v>Playoff (Semi)</v>
      </c>
      <c r="G23" s="193" t="str">
        <f>IFERROR(__xludf.DUMMYFUNCTION("""COMPUTED_VALUE"""),"Playoff (WC/Qtrs)")</f>
        <v>Playoff (WC/Qtrs)</v>
      </c>
      <c r="H23" s="187" t="str">
        <f>IFERROR(__xludf.DUMMYFUNCTION("""COMPUTED_VALUE"""),"Scheduled Day")</f>
        <v>Scheduled Day</v>
      </c>
      <c r="K23" s="193" t="str">
        <f>IFERROR(__xludf.DUMMYFUNCTION("""COMPUTED_VALUE"""),"Playoff (Semi)")</f>
        <v>Playoff (Semi)</v>
      </c>
      <c r="L23" s="193" t="str">
        <f>IFERROR(__xludf.DUMMYFUNCTION("""COMPUTED_VALUE"""),"Playoff (Finals)")</f>
        <v>Playoff (Finals)</v>
      </c>
      <c r="M23" s="189" t="str">
        <f>IFERROR(__xludf.DUMMYFUNCTION("""COMPUTED_VALUE"""),"Amateur Finals @ 9:30ET/ Premier Finals @ 10:30ET")</f>
        <v>Amateur Finals @ 9:30ET/ Premier Finals @ 10:30ET</v>
      </c>
    </row>
    <row r="24">
      <c r="A24" s="183" t="str">
        <f>IFERROR(__xludf.DUMMYFUNCTION("""COMPUTED_VALUE"""),"Monday")</f>
        <v>Monday</v>
      </c>
      <c r="B24" s="184">
        <f>IFERROR(__xludf.DUMMYFUNCTION("""COMPUTED_VALUE"""),45971.0)</f>
        <v>45971</v>
      </c>
      <c r="C24" s="195" t="str">
        <f>IFERROR(__xludf.DUMMYFUNCTION("""COMPUTED_VALUE"""),"Playoffs")</f>
        <v>Playoffs</v>
      </c>
      <c r="D24" s="73"/>
      <c r="E24" s="43"/>
      <c r="F24" s="193" t="str">
        <f>IFERROR(__xludf.DUMMYFUNCTION("""COMPUTED_VALUE"""),"Playoff (Finals)")</f>
        <v>Playoff (Finals)</v>
      </c>
      <c r="G24" s="193" t="str">
        <f>IFERROR(__xludf.DUMMYFUNCTION("""COMPUTED_VALUE"""),"Playoff (Semi)")</f>
        <v>Playoff (Semi)</v>
      </c>
      <c r="H24" s="193" t="str">
        <f>IFERROR(__xludf.DUMMYFUNCTION("""COMPUTED_VALUE"""),"Playoff (WC/Qtrs)")</f>
        <v>Playoff (WC/Qtrs)</v>
      </c>
      <c r="I24" s="193" t="str">
        <f>IFERROR(__xludf.DUMMYFUNCTION("""COMPUTED_VALUE"""),"Playoff (WC/Qtrs)")</f>
        <v>Playoff (WC/Qtrs)</v>
      </c>
      <c r="J24" s="194" t="str">
        <f>IFERROR(__xludf.DUMMYFUNCTION("""COMPUTED_VALUE"""),"Playoff (WC/Qtrs)")</f>
        <v>Playoff (WC/Qtrs)</v>
      </c>
      <c r="K24" s="193" t="str">
        <f>IFERROR(__xludf.DUMMYFUNCTION("""COMPUTED_VALUE"""),"Playoff (Finals)")</f>
        <v>Playoff (Finals)</v>
      </c>
      <c r="L24" s="73"/>
      <c r="M24" s="189" t="str">
        <f>IFERROR(__xludf.DUMMYFUNCTION("""COMPUTED_VALUE"""),"Prospect Finals @ 9:30ET / Master Finals @ 10:30ET")</f>
        <v>Prospect Finals @ 9:30ET / Master Finals @ 10:30ET</v>
      </c>
    </row>
    <row r="25">
      <c r="A25" s="183" t="str">
        <f>IFERROR(__xludf.DUMMYFUNCTION("""COMPUTED_VALUE"""),"Wednesday")</f>
        <v>Wednesday</v>
      </c>
      <c r="B25" s="184">
        <f>IFERROR(__xludf.DUMMYFUNCTION("""COMPUTED_VALUE"""),45973.0)</f>
        <v>45973</v>
      </c>
      <c r="C25" s="195" t="str">
        <f>IFERROR(__xludf.DUMMYFUNCTION("""COMPUTED_VALUE"""),"Playoffs")</f>
        <v>Playoffs</v>
      </c>
      <c r="D25" s="43"/>
      <c r="E25" s="43"/>
      <c r="F25" s="43"/>
      <c r="G25" s="196" t="str">
        <f>IFERROR(__xludf.DUMMYFUNCTION("""COMPUTED_VALUE"""),"Playoff (Finals)")</f>
        <v>Playoff (Finals)</v>
      </c>
      <c r="H25" s="193" t="str">
        <f>IFERROR(__xludf.DUMMYFUNCTION("""COMPUTED_VALUE"""),"Playoff (Semi)")</f>
        <v>Playoff (Semi)</v>
      </c>
      <c r="I25" s="193" t="str">
        <f>IFERROR(__xludf.DUMMYFUNCTION("""COMPUTED_VALUE"""),"Playoff (Semi)")</f>
        <v>Playoff (Semi)</v>
      </c>
      <c r="J25" s="193" t="str">
        <f>IFERROR(__xludf.DUMMYFUNCTION("""COMPUTED_VALUE"""),"Playoff (Semi/Finals)")</f>
        <v>Playoff (Semi/Finals)</v>
      </c>
      <c r="K25" s="43"/>
      <c r="L25" s="73"/>
      <c r="M25" s="189" t="str">
        <f>IFERROR(__xludf.DUMMYFUNCTION("""COMPUTED_VALUE"""),"Challenger Finals @ 9:30ET/ Elite Finals @ 10:30ET")</f>
        <v>Challenger Finals @ 9:30ET/ Elite Finals @ 10:30ET</v>
      </c>
    </row>
    <row r="26">
      <c r="A26" s="183" t="str">
        <f>IFERROR(__xludf.DUMMYFUNCTION("""COMPUTED_VALUE"""),"Monday")</f>
        <v>Monday</v>
      </c>
      <c r="B26" s="184">
        <f>IFERROR(__xludf.DUMMYFUNCTION("""COMPUTED_VALUE"""),45978.0)</f>
        <v>45978</v>
      </c>
      <c r="C26" s="195" t="str">
        <f>IFERROR(__xludf.DUMMYFUNCTION("""COMPUTED_VALUE"""),"Playoffs")</f>
        <v>Playoffs</v>
      </c>
      <c r="D26" s="43"/>
      <c r="E26" s="43"/>
      <c r="F26" s="43"/>
      <c r="G26" s="43"/>
      <c r="H26" s="193" t="str">
        <f>IFERROR(__xludf.DUMMYFUNCTION("""COMPUTED_VALUE"""),"Playoff (Finals)")</f>
        <v>Playoff (Finals)</v>
      </c>
      <c r="I26" s="193" t="str">
        <f>IFERROR(__xludf.DUMMYFUNCTION("""COMPUTED_VALUE"""),"Playoff (Finals)")</f>
        <v>Playoff (Finals)</v>
      </c>
      <c r="J26" s="43"/>
      <c r="K26" s="43"/>
      <c r="L26" s="43"/>
      <c r="M26" s="189" t="str">
        <f>IFERROR(__xludf.DUMMYFUNCTION("""COMPUTED_VALUE"""),"Rival Finals @ 9:30ET/ Veteran Finals @ 10:30ET")</f>
        <v>Rival Finals @ 9:30ET/ Veteran Finals @ 10:30ET</v>
      </c>
    </row>
    <row r="27">
      <c r="A27" s="183" t="str">
        <f>IFERROR(__xludf.DUMMYFUNCTION("""COMPUTED_VALUE"""),"Sunday")</f>
        <v>Sunday</v>
      </c>
      <c r="B27" s="184">
        <f>IFERROR(__xludf.DUMMYFUNCTION("""COMPUTED_VALUE"""),45984.0)</f>
        <v>45984</v>
      </c>
      <c r="C27" s="179" t="str">
        <f>IFERROR(__xludf.DUMMYFUNCTION("""COMPUTED_VALUE"""),"Season Wrap-Up Stream")</f>
        <v>Season Wrap-Up Stream</v>
      </c>
      <c r="M27" s="189"/>
    </row>
    <row r="28">
      <c r="A28" s="183"/>
      <c r="B28" s="126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</row>
    <row r="29">
      <c r="A29" s="197" t="str">
        <f>IFERROR(__xludf.DUMMYFUNCTION("""COMPUTED_VALUE"""),"Schedule Eplanation")</f>
        <v>Schedule Eplanation</v>
      </c>
      <c r="B29" s="198"/>
      <c r="C29" s="199"/>
      <c r="D29" s="200" t="str">
        <f>IFERROR(__xludf.DUMMYFUNCTION("""COMPUTED_VALUE"""),"Each team plays all opponents twice")</f>
        <v>Each team plays all opponents twice</v>
      </c>
      <c r="E29" s="200" t="str">
        <f>IFERROR(__xludf.DUMMYFUNCTION("""COMPUTED_VALUE"""),"Each team plays conference opponents twice, non-conference opponents once")</f>
        <v>Each team plays conference opponents twice, non-conference opponents once</v>
      </c>
      <c r="F29" s="201" t="str">
        <f>IFERROR(__xludf.DUMMYFUNCTION("""COMPUTED_VALUE"""),"Each team plays all opponents once, and an additional 3 random opponents")</f>
        <v>Each team plays all opponents once, and an additional 3 random opponents</v>
      </c>
      <c r="G29" s="202" t="str">
        <f>IFERROR(__xludf.DUMMYFUNCTION("""COMPUTED_VALUE"""),"Each team plays divisional opponents twice, six other conference opponents, and three non-conference games.")</f>
        <v>Each team plays divisional opponents twice, six other conference opponents, and three non-conference games.</v>
      </c>
      <c r="H29" s="202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I29" s="202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J29" s="202" t="str">
        <f>IFERROR(__xludf.DUMMYFUNCTION("""COMPUTED_VALUE"""),"Each team plays divisional opponents twice, six other conference opponents, and four non-conference games.")</f>
        <v>Each team plays divisional opponents twice, six other conference opponents, and four non-conference games.</v>
      </c>
      <c r="K29" s="201" t="str">
        <f>IFERROR(__xludf.DUMMYFUNCTION("""COMPUTED_VALUE"""),"Each team plays all opponents once, and an additional 3 random opponents")</f>
        <v>Each team plays all opponents once, and an additional 3 random opponents</v>
      </c>
      <c r="L29" s="200" t="str">
        <f>IFERROR(__xludf.DUMMYFUNCTION("""COMPUTED_VALUE"""),"Each team plays all opponents twice")</f>
        <v>Each team plays all opponents twice</v>
      </c>
      <c r="M29" s="199"/>
    </row>
    <row r="30">
      <c r="A30" s="172"/>
      <c r="B30" s="126"/>
      <c r="C30" s="199"/>
      <c r="D30" s="189"/>
      <c r="E30" s="189"/>
      <c r="F30" s="199"/>
      <c r="G30" s="189"/>
      <c r="H30" s="189"/>
      <c r="I30" s="189"/>
      <c r="J30" s="189"/>
      <c r="K30" s="199"/>
      <c r="L30" s="189"/>
      <c r="M30" s="189"/>
    </row>
    <row r="31">
      <c r="A31" s="197" t="str">
        <f>IFERROR(__xludf.DUMMYFUNCTION("""COMPUTED_VALUE"""),"Playoff Qualification")</f>
        <v>Playoff Qualification</v>
      </c>
      <c r="B31" s="198"/>
      <c r="C31" s="199"/>
      <c r="D31" s="203" t="str">
        <f>IFERROR(__xludf.DUMMYFUNCTION("""COMPUTED_VALUE"""),"Top 4 qualify")</f>
        <v>Top 4 qualify</v>
      </c>
      <c r="E31" s="203" t="str">
        <f>IFERROR(__xludf.DUMMYFUNCTION("""COMPUTED_VALUE"""),"Top 3 from each conference. #1 seed from each conference shall have a 1st round bye")</f>
        <v>Top 3 from each conference. #1 seed from each conference shall have a 1st round bye</v>
      </c>
      <c r="F31" s="201" t="str">
        <f>IFERROR(__xludf.DUMMYFUNCTION("""COMPUTED_VALUE"""),"Top 6 teams overall. The top 2 seeds shall have 1 1st round bye")</f>
        <v>Top 6 teams overall. The top 2 seeds shall have 1 1st round bye</v>
      </c>
      <c r="G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H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I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J31" s="204" t="str">
        <f>IFERROR(__xludf.DUMMYFUNCTION("""COMPUTED_VALUE"""),"The four division champions from each conference (the team in each division with the best overall record) are automatically qualified.
Four wild-card qualifiers from each conference (the four teams with the best overall record of all remaining teams in th"&amp;"e conference). Teams are then seeded by record")</f>
        <v>The four division champions from each conference (the team in each division with the best overall record) are automatically qualified.
Four wild-card qualifiers from each conference (the four teams with the best overall record of all remaining teams in the conference). Teams are then seeded by record</v>
      </c>
      <c r="K31" s="201" t="str">
        <f>IFERROR(__xludf.DUMMYFUNCTION("""COMPUTED_VALUE"""),"Top 6 teams overall. The top 2 seeds shall have 1 1st round bye")</f>
        <v>Top 6 teams overall. The top 2 seeds shall have 1 1st round bye</v>
      </c>
      <c r="L31" s="203" t="str">
        <f>IFERROR(__xludf.DUMMYFUNCTION("""COMPUTED_VALUE"""),"Top 4 qualify")</f>
        <v>Top 4 qualify</v>
      </c>
      <c r="M31" s="199"/>
    </row>
    <row r="32">
      <c r="A32" s="172"/>
      <c r="B32" s="126"/>
      <c r="C32" s="199"/>
      <c r="D32" s="199"/>
      <c r="E32" s="189"/>
      <c r="F32" s="199"/>
      <c r="G32" s="189"/>
      <c r="H32" s="189"/>
      <c r="I32" s="189"/>
      <c r="J32" s="189"/>
      <c r="K32" s="199"/>
      <c r="L32" s="199"/>
      <c r="M32" s="189"/>
    </row>
    <row r="33">
      <c r="A33" s="197"/>
      <c r="B33" s="198"/>
      <c r="C33" s="199"/>
      <c r="D33" s="203"/>
      <c r="E33" s="203"/>
      <c r="F33" s="201"/>
      <c r="G33" s="204"/>
      <c r="H33" s="204"/>
      <c r="I33" s="204"/>
      <c r="J33" s="204"/>
      <c r="K33" s="201"/>
      <c r="L33" s="203"/>
      <c r="M33" s="199"/>
    </row>
    <row r="34">
      <c r="A34" s="205"/>
      <c r="B34" s="126"/>
      <c r="C34" s="189"/>
      <c r="D34" s="206"/>
      <c r="E34" s="207"/>
      <c r="F34" s="207"/>
      <c r="G34" s="207"/>
      <c r="H34" s="207"/>
      <c r="I34" s="207"/>
      <c r="J34" s="207"/>
      <c r="K34" s="207"/>
      <c r="L34" s="206"/>
      <c r="M34" s="189"/>
    </row>
    <row r="35">
      <c r="A35" s="172"/>
      <c r="B35" s="126"/>
      <c r="C35" s="172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>
      <c r="A36" s="172"/>
      <c r="B36" s="126"/>
      <c r="C36" s="172"/>
      <c r="D36" s="208"/>
      <c r="E36" s="189"/>
      <c r="F36" s="189"/>
      <c r="G36" s="189"/>
      <c r="H36" s="189"/>
      <c r="I36" s="189"/>
      <c r="J36" s="189"/>
      <c r="K36" s="189"/>
      <c r="L36" s="189"/>
      <c r="M36" s="189"/>
    </row>
    <row r="37">
      <c r="A37" s="172"/>
      <c r="B37" s="126"/>
      <c r="C37" s="172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>
      <c r="A38" s="172"/>
      <c r="B38" s="126"/>
      <c r="C38" s="172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>
      <c r="A39" s="172"/>
      <c r="B39" s="126"/>
      <c r="C39" s="172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>
      <c r="A40" s="172"/>
      <c r="B40" s="126"/>
      <c r="C40" s="172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>
      <c r="A41" s="172"/>
      <c r="B41" s="126"/>
      <c r="C41" s="172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>
      <c r="A42" s="172"/>
      <c r="B42" s="126"/>
      <c r="C42" s="172"/>
      <c r="D42" s="189"/>
      <c r="E42" s="189"/>
      <c r="F42" s="189"/>
      <c r="G42" s="189"/>
      <c r="H42" s="189"/>
      <c r="I42" s="189"/>
      <c r="J42" s="189"/>
      <c r="K42" s="189"/>
      <c r="L42" s="189"/>
      <c r="M42" s="189"/>
    </row>
    <row r="43">
      <c r="A43" s="172"/>
      <c r="B43" s="126"/>
      <c r="C43" s="172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>
      <c r="A44" s="172"/>
      <c r="B44" s="126"/>
      <c r="C44" s="172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>
      <c r="A45" s="172"/>
      <c r="B45" s="126"/>
      <c r="C45" s="172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>
      <c r="A46" s="172"/>
      <c r="B46" s="126"/>
      <c r="C46" s="172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>
      <c r="A47" s="172"/>
      <c r="B47" s="126"/>
      <c r="C47" s="172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>
      <c r="A48" s="172"/>
      <c r="B48" s="126"/>
      <c r="C48" s="172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</sheetData>
  <mergeCells count="23">
    <mergeCell ref="D2:L2"/>
    <mergeCell ref="D3:L3"/>
    <mergeCell ref="D4:L4"/>
    <mergeCell ref="D5:L5"/>
    <mergeCell ref="D6:L6"/>
    <mergeCell ref="D7:L7"/>
    <mergeCell ref="D8:L8"/>
    <mergeCell ref="D9:L9"/>
    <mergeCell ref="D10:L10"/>
    <mergeCell ref="D11:L11"/>
    <mergeCell ref="D12:L12"/>
    <mergeCell ref="D13:L13"/>
    <mergeCell ref="D14:L14"/>
    <mergeCell ref="D15:L15"/>
    <mergeCell ref="H23:J23"/>
    <mergeCell ref="C27:L27"/>
    <mergeCell ref="C16:L16"/>
    <mergeCell ref="D17:L17"/>
    <mergeCell ref="D18:L18"/>
    <mergeCell ref="D19:L19"/>
    <mergeCell ref="D20:L20"/>
    <mergeCell ref="D21:L21"/>
    <mergeCell ref="G22:J2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9.38"/>
  </cols>
  <sheetData>
    <row r="1">
      <c r="A1" s="209" t="s">
        <v>0</v>
      </c>
      <c r="B1" s="210" t="s">
        <v>1</v>
      </c>
    </row>
  </sheetData>
  <drawing r:id="rId1"/>
</worksheet>
</file>